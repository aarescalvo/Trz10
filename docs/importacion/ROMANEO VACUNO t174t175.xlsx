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640" windowHeight="11100" tabRatio="940" activeTab="6"/>
  </bookViews>
  <sheets>
    <sheet name="TROPA 174 " sheetId="13" r:id="rId1"/>
    <sheet name="TROPA 175 " sheetId="24" r:id="rId2"/>
    <sheet name="ROMANEO 1" sheetId="1" r:id="rId3"/>
    <sheet name="ROMANEO (2)" sheetId="17" r:id="rId4"/>
    <sheet name="denticion 1" sheetId="16" r:id="rId5"/>
    <sheet name="denticion(2)" sheetId="19" r:id="rId6"/>
    <sheet name="menudencias (1)" sheetId="10" r:id="rId7"/>
    <sheet name="menudencias (2)" sheetId="21" r:id="rId8"/>
  </sheets>
  <definedNames>
    <definedName name="_xlnm.Print_Area" localSheetId="6">'menudencias (1)'!$B$1:$I$30</definedName>
    <definedName name="_xlnm.Print_Area" localSheetId="7">'menudencias (2)'!$B$1:$F$28</definedName>
    <definedName name="_xlnm.Print_Area" localSheetId="0">'TROPA 174 '!$B$2:$N$36</definedName>
    <definedName name="_xlnm.Print_Area" localSheetId="1">'TROPA 175 '!$B$2:$N$61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0" l="1"/>
  <c r="E22" i="21"/>
  <c r="E16" i="21"/>
  <c r="E15" i="21"/>
  <c r="E14" i="21"/>
  <c r="E13" i="21"/>
  <c r="E12" i="21"/>
  <c r="E10" i="21"/>
  <c r="E9" i="21"/>
  <c r="E8" i="21"/>
  <c r="E7" i="21"/>
  <c r="E5" i="21"/>
  <c r="C22" i="21" l="1"/>
  <c r="D15" i="21"/>
  <c r="D14" i="21"/>
  <c r="D13" i="21"/>
  <c r="D9" i="21"/>
  <c r="D6" i="21"/>
  <c r="D5" i="21"/>
  <c r="I87" i="24" l="1"/>
  <c r="K78" i="24"/>
  <c r="J78" i="24"/>
  <c r="I78" i="24"/>
  <c r="K60" i="24"/>
  <c r="J60" i="24"/>
  <c r="I60" i="24"/>
  <c r="E17" i="24" s="1"/>
  <c r="D60" i="24"/>
  <c r="H83" i="24" s="1"/>
  <c r="L59" i="24"/>
  <c r="M59" i="24" s="1"/>
  <c r="L58" i="24"/>
  <c r="M58" i="24" s="1"/>
  <c r="L57" i="24"/>
  <c r="M57" i="24" s="1"/>
  <c r="L56" i="24"/>
  <c r="M56" i="24" s="1"/>
  <c r="L55" i="24"/>
  <c r="M55" i="24" s="1"/>
  <c r="L54" i="24"/>
  <c r="M54" i="24" s="1"/>
  <c r="L53" i="24"/>
  <c r="M53" i="24" s="1"/>
  <c r="L52" i="24"/>
  <c r="M52" i="24" s="1"/>
  <c r="L51" i="24"/>
  <c r="M51" i="24" s="1"/>
  <c r="L50" i="24"/>
  <c r="M50" i="24" s="1"/>
  <c r="L49" i="24"/>
  <c r="M49" i="24" s="1"/>
  <c r="L48" i="24"/>
  <c r="M48" i="24" s="1"/>
  <c r="L47" i="24"/>
  <c r="M47" i="24" s="1"/>
  <c r="L46" i="24"/>
  <c r="M46" i="24" s="1"/>
  <c r="L45" i="24"/>
  <c r="M45" i="24" s="1"/>
  <c r="L44" i="24"/>
  <c r="M44" i="24" s="1"/>
  <c r="L43" i="24"/>
  <c r="M43" i="24" s="1"/>
  <c r="L42" i="24"/>
  <c r="M42" i="24" s="1"/>
  <c r="L41" i="24"/>
  <c r="M41" i="24" s="1"/>
  <c r="L40" i="24"/>
  <c r="M40" i="24" s="1"/>
  <c r="L39" i="24"/>
  <c r="M39" i="24" s="1"/>
  <c r="L38" i="24"/>
  <c r="M38" i="24" s="1"/>
  <c r="L37" i="24"/>
  <c r="M37" i="24" s="1"/>
  <c r="L36" i="24"/>
  <c r="M36" i="24" s="1"/>
  <c r="L35" i="24"/>
  <c r="M35" i="24" s="1"/>
  <c r="L34" i="24"/>
  <c r="M34" i="24" s="1"/>
  <c r="L33" i="24"/>
  <c r="M33" i="24" s="1"/>
  <c r="L32" i="24"/>
  <c r="M32" i="24" s="1"/>
  <c r="L31" i="24"/>
  <c r="M31" i="24" s="1"/>
  <c r="L30" i="24"/>
  <c r="M30" i="24" s="1"/>
  <c r="L29" i="24"/>
  <c r="M29" i="24" s="1"/>
  <c r="L28" i="24"/>
  <c r="M28" i="24" s="1"/>
  <c r="L27" i="24"/>
  <c r="M27" i="24" s="1"/>
  <c r="L26" i="24"/>
  <c r="M26" i="24" s="1"/>
  <c r="L25" i="24"/>
  <c r="M25" i="24" s="1"/>
  <c r="K20" i="24"/>
  <c r="L19" i="24"/>
  <c r="K19" i="24"/>
  <c r="L18" i="24"/>
  <c r="K18" i="24"/>
  <c r="L17" i="24"/>
  <c r="K17" i="24"/>
  <c r="K16" i="24"/>
  <c r="K15" i="24"/>
  <c r="L15" i="24" l="1"/>
  <c r="L16" i="24"/>
  <c r="L20" i="24"/>
  <c r="L60" i="24"/>
  <c r="I62" i="13"/>
  <c r="K53" i="13"/>
  <c r="J53" i="13"/>
  <c r="I53" i="13"/>
  <c r="K35" i="13"/>
  <c r="J35" i="13"/>
  <c r="I35" i="13"/>
  <c r="D35" i="13"/>
  <c r="H58" i="13" s="1"/>
  <c r="L34" i="13"/>
  <c r="M34" i="13" s="1"/>
  <c r="L33" i="13"/>
  <c r="M33" i="13" s="1"/>
  <c r="L32" i="13"/>
  <c r="M32" i="13" s="1"/>
  <c r="L31" i="13"/>
  <c r="M31" i="13" s="1"/>
  <c r="L30" i="13"/>
  <c r="M30" i="13" s="1"/>
  <c r="L29" i="13"/>
  <c r="M29" i="13" s="1"/>
  <c r="L28" i="13"/>
  <c r="M28" i="13" s="1"/>
  <c r="L27" i="13"/>
  <c r="M27" i="13" s="1"/>
  <c r="L26" i="13"/>
  <c r="M26" i="13" s="1"/>
  <c r="L25" i="13"/>
  <c r="M25" i="13" s="1"/>
  <c r="L20" i="13"/>
  <c r="K20" i="13"/>
  <c r="L19" i="13"/>
  <c r="K19" i="13"/>
  <c r="L18" i="13"/>
  <c r="K18" i="13"/>
  <c r="L17" i="13"/>
  <c r="K17" i="13"/>
  <c r="E17" i="13"/>
  <c r="L16" i="13"/>
  <c r="K16" i="13"/>
  <c r="L15" i="13"/>
  <c r="K15" i="13"/>
  <c r="M60" i="24" l="1"/>
  <c r="E20" i="24"/>
  <c r="E18" i="24"/>
  <c r="L4" i="24"/>
  <c r="L35" i="13"/>
  <c r="H27" i="10"/>
  <c r="H28" i="10"/>
  <c r="H29" i="10"/>
  <c r="H30" i="10"/>
  <c r="G27" i="10"/>
  <c r="G28" i="10"/>
  <c r="G29" i="10"/>
  <c r="G30" i="10"/>
  <c r="H26" i="10"/>
  <c r="G26" i="10"/>
  <c r="E19" i="24" l="1"/>
  <c r="L3" i="24"/>
  <c r="E20" i="13"/>
  <c r="L4" i="13"/>
  <c r="M35" i="13"/>
  <c r="E18" i="13"/>
  <c r="E19" i="13" l="1"/>
  <c r="L3" i="13"/>
  <c r="F3" i="17"/>
  <c r="F18" i="21"/>
  <c r="E18" i="21"/>
  <c r="F18" i="10"/>
  <c r="E18" i="10"/>
  <c r="B6" i="17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6" i="19" l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comments1.xml><?xml version="1.0" encoding="utf-8"?>
<comments xmlns="http://schemas.openxmlformats.org/spreadsheetml/2006/main">
  <authors>
    <author>Usuario</author>
  </authors>
  <commentList>
    <comment ref="I6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I8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<sst xmlns="http://schemas.openxmlformats.org/spreadsheetml/2006/main" count="521" uniqueCount="161">
  <si>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</si>
  <si>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</si>
  <si>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</si>
  <si>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</si>
  <si>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</si>
  <si>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</si>
  <si>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</si>
  <si>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</si>
  <si>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</si>
  <si>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</si>
  <si>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</si>
  <si>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</si>
  <si>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</si>
  <si>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</si>
  <si>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</si>
  <si>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</si>
  <si>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</si>
  <si>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</si>
  <si>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</si>
  <si>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</si>
  <si>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</si>
  <si>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</si>
  <si>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</si>
  <si>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</si>
  <si>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</si>
  <si>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</si>
  <si>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</si>
  <si>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</si>
  <si>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</si>
  <si>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</si>
  <si>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</si>
  <si>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</si>
  <si>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</si>
  <si>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</si>
  <si>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</si>
  <si>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</si>
  <si>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</si>
  <si>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</si>
  <si>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</si>
  <si>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DESPOJO</t>
  </si>
  <si>
    <t>BOLSA AZUL</t>
  </si>
  <si>
    <t>PESAJE INTERNO</t>
  </si>
  <si>
    <t>N° CABEZA</t>
  </si>
  <si>
    <t>DIENTES</t>
  </si>
  <si>
    <t>PESAJE BASCULA - MANITOU</t>
  </si>
  <si>
    <t xml:space="preserve">FECHA:     </t>
  </si>
  <si>
    <t>FECHA:</t>
  </si>
  <si>
    <t>TROPA:</t>
  </si>
  <si>
    <t>LAVADITO</t>
  </si>
  <si>
    <t>TROPA Nº</t>
  </si>
  <si>
    <t>TIPO</t>
  </si>
  <si>
    <t>LOTE:</t>
  </si>
  <si>
    <t>RAZA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</si>
  <si>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</si>
  <si>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</si>
  <si>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</si>
  <si>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</si>
  <si>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</si>
  <si>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</si>
  <si>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</si>
  <si>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</si>
  <si>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</si>
  <si>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</si>
  <si>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</si>
  <si>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</si>
  <si>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</si>
  <si>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</si>
  <si>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</si>
  <si>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</si>
  <si>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</si>
  <si>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</si>
  <si>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</si>
  <si>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</si>
  <si>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</si>
  <si>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</si>
  <si>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</si>
  <si>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</si>
  <si>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</si>
  <si>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CHINCHU - LAVADITO</t>
  </si>
  <si>
    <t>DESTINO</t>
  </si>
  <si>
    <t>KG</t>
  </si>
  <si>
    <t>F. FAENA</t>
  </si>
  <si>
    <t>F. ELAB.</t>
  </si>
  <si>
    <t>F. VENC.</t>
  </si>
  <si>
    <t>Fecha Ing.:</t>
  </si>
  <si>
    <t>Hora:</t>
  </si>
  <si>
    <t>MENUDENCIA</t>
  </si>
  <si>
    <t>Cantidades</t>
  </si>
  <si>
    <t>Unidad</t>
  </si>
  <si>
    <t>Kg Dec.</t>
  </si>
  <si>
    <t>TOTALES</t>
  </si>
  <si>
    <t>SUBPRODUCTOS</t>
  </si>
  <si>
    <t>UN.</t>
  </si>
  <si>
    <t>CUERO</t>
  </si>
  <si>
    <t>GRASA FAENA</t>
  </si>
  <si>
    <t xml:space="preserve">GRASA DREASING </t>
  </si>
  <si>
    <t>DESPERDICIO DE FAENA</t>
  </si>
  <si>
    <t>VACA</t>
  </si>
  <si>
    <t>NOVILLITO</t>
  </si>
  <si>
    <t>VAQUILLONA</t>
  </si>
  <si>
    <t>FECHA:         05/05/2026</t>
  </si>
  <si>
    <t>FECHA:          05/05/2026</t>
  </si>
  <si>
    <t>BOSQUE AMADO SRL</t>
  </si>
  <si>
    <t>MUCA S.A.S</t>
  </si>
  <si>
    <t>31671114-6</t>
  </si>
  <si>
    <t>G-CHO26-02367</t>
  </si>
  <si>
    <t>CA</t>
  </si>
  <si>
    <t>HE</t>
  </si>
  <si>
    <t>AA</t>
  </si>
  <si>
    <t>A409</t>
  </si>
  <si>
    <t>F589</t>
  </si>
  <si>
    <t>A532</t>
  </si>
  <si>
    <t>S/L</t>
  </si>
  <si>
    <t>A508</t>
  </si>
  <si>
    <t>A995</t>
  </si>
  <si>
    <t>A311</t>
  </si>
  <si>
    <t>A609</t>
  </si>
  <si>
    <t>B418</t>
  </si>
  <si>
    <t>B252</t>
  </si>
  <si>
    <t>KREITZ JUAN EDUARDO</t>
  </si>
  <si>
    <t>31682041-2</t>
  </si>
  <si>
    <t>C414</t>
  </si>
  <si>
    <t>L783</t>
  </si>
  <si>
    <t>D766</t>
  </si>
  <si>
    <t>L098</t>
  </si>
  <si>
    <t>A110</t>
  </si>
  <si>
    <t>A054</t>
  </si>
  <si>
    <t>B921</t>
  </si>
  <si>
    <t>B496</t>
  </si>
  <si>
    <t>K996</t>
  </si>
  <si>
    <t>B107</t>
  </si>
  <si>
    <t>C625</t>
  </si>
  <si>
    <t>A059</t>
  </si>
  <si>
    <t>I438</t>
  </si>
  <si>
    <t>H562</t>
  </si>
  <si>
    <t>A737</t>
  </si>
  <si>
    <t>A148</t>
  </si>
  <si>
    <t>A718</t>
  </si>
  <si>
    <t>Y421</t>
  </si>
  <si>
    <t>B350</t>
  </si>
  <si>
    <t>D192</t>
  </si>
  <si>
    <t>A178</t>
  </si>
  <si>
    <t>Y722</t>
  </si>
  <si>
    <t>B616</t>
  </si>
  <si>
    <t>A090</t>
  </si>
  <si>
    <t>A296</t>
  </si>
  <si>
    <t>A173</t>
  </si>
  <si>
    <t>B014</t>
  </si>
  <si>
    <t>B387</t>
  </si>
  <si>
    <t>D198</t>
  </si>
  <si>
    <t>A850</t>
  </si>
  <si>
    <t>C614</t>
  </si>
  <si>
    <t>Y378</t>
  </si>
  <si>
    <t>A462</t>
  </si>
  <si>
    <t>B733</t>
  </si>
  <si>
    <t>2D - MEJ</t>
  </si>
  <si>
    <t>6D - VA</t>
  </si>
  <si>
    <t>2D - NT</t>
  </si>
  <si>
    <t>2D - VQ</t>
  </si>
  <si>
    <t>31 4 DECOMISOS 25.74</t>
  </si>
  <si>
    <t>21.80+22.92+25.02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</si>
</sst>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0" xfId="0" applyFont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6" xfId="0" applyFont="1" applyBorder="1"/>
    <xf numFmtId="0" fontId="1" fillId="0" borderId="5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30" xfId="0" applyFont="1" applyBorder="1" applyAlignment="1">
      <alignment horizontal="right"/>
    </xf>
    <xf numFmtId="14" fontId="0" fillId="0" borderId="30" xfId="0" applyNumberFormat="1" applyBorder="1" applyAlignment="1">
      <alignment horizontal="center"/>
    </xf>
    <xf numFmtId="14" fontId="1" fillId="0" borderId="30" xfId="0" applyNumberFormat="1" applyFont="1" applyBorder="1" applyAlignment="1">
      <alignment horizontal="right"/>
    </xf>
    <xf numFmtId="0" fontId="1" fillId="0" borderId="31" xfId="0" applyFont="1" applyFill="1" applyBorder="1" applyAlignment="1">
      <alignment horizontal="right" vertical="center"/>
    </xf>
    <xf numFmtId="0" fontId="0" fillId="0" borderId="31" xfId="0" applyBorder="1"/>
    <xf numFmtId="0" fontId="2" fillId="0" borderId="30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2" borderId="3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" xfId="0" applyFont="1" applyBorder="1" applyAlignment="1">
      <alignment horizontal="right" vertical="center"/>
    </xf>
    <xf numFmtId="0" fontId="0" fillId="0" borderId="14" xfId="0" applyFont="1" applyBorder="1" applyAlignment="1">
      <alignment horizontal="right" vertical="center"/>
    </xf>
    <xf numFmtId="0" fontId="0" fillId="0" borderId="39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3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18" xfId="0" applyFont="1" applyBorder="1"/>
    <xf numFmtId="0" fontId="6" fillId="0" borderId="19" xfId="0" applyFont="1" applyBorder="1"/>
    <xf numFmtId="2" fontId="6" fillId="0" borderId="19" xfId="0" applyNumberFormat="1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0" xfId="0" applyFont="1" applyBorder="1"/>
    <xf numFmtId="0" fontId="7" fillId="0" borderId="42" xfId="0" applyFont="1" applyBorder="1" applyAlignment="1">
      <alignment horizontal="center" vertical="center"/>
    </xf>
    <xf numFmtId="10" fontId="7" fillId="0" borderId="42" xfId="0" applyNumberFormat="1" applyFont="1" applyBorder="1" applyAlignment="1">
      <alignment vertical="center"/>
    </xf>
    <xf numFmtId="0" fontId="6" fillId="0" borderId="22" xfId="0" applyFont="1" applyBorder="1"/>
    <xf numFmtId="2" fontId="6" fillId="0" borderId="0" xfId="0" applyNumberFormat="1" applyFont="1" applyBorder="1"/>
    <xf numFmtId="2" fontId="7" fillId="0" borderId="42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4" xfId="0" applyFont="1" applyBorder="1"/>
    <xf numFmtId="0" fontId="6" fillId="0" borderId="25" xfId="0" applyFont="1" applyBorder="1"/>
    <xf numFmtId="2" fontId="6" fillId="0" borderId="25" xfId="0" applyNumberFormat="1" applyFont="1" applyBorder="1"/>
    <xf numFmtId="0" fontId="6" fillId="0" borderId="26" xfId="0" applyFont="1" applyBorder="1"/>
    <xf numFmtId="0" fontId="6" fillId="0" borderId="21" xfId="0" applyFont="1" applyBorder="1" applyAlignment="1">
      <alignment horizontal="right"/>
    </xf>
    <xf numFmtId="2" fontId="6" fillId="0" borderId="25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25" xfId="0" applyFont="1" applyBorder="1" applyAlignment="1">
      <alignment horizontal="right"/>
    </xf>
    <xf numFmtId="0" fontId="7" fillId="0" borderId="25" xfId="0" applyFont="1" applyBorder="1" applyAlignment="1">
      <alignment vertical="center"/>
    </xf>
    <xf numFmtId="1" fontId="7" fillId="0" borderId="25" xfId="0" applyNumberFormat="1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" fontId="11" fillId="0" borderId="31" xfId="1" applyNumberFormat="1" applyFont="1" applyFill="1" applyBorder="1" applyAlignment="1">
      <alignment horizontal="center" vertical="center"/>
    </xf>
    <xf numFmtId="10" fontId="10" fillId="0" borderId="31" xfId="1" applyNumberFormat="1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11" fillId="0" borderId="40" xfId="1" applyNumberFormat="1" applyFont="1" applyFill="1" applyBorder="1" applyAlignment="1">
      <alignment horizontal="center" vertical="center"/>
    </xf>
    <xf numFmtId="10" fontId="10" fillId="0" borderId="40" xfId="1" applyNumberFormat="1" applyFont="1" applyBorder="1" applyAlignment="1">
      <alignment horizontal="right"/>
    </xf>
    <xf numFmtId="10" fontId="10" fillId="0" borderId="40" xfId="1" applyNumberFormat="1" applyFont="1" applyFill="1" applyBorder="1" applyAlignment="1">
      <alignment horizontal="right"/>
    </xf>
    <xf numFmtId="1" fontId="9" fillId="0" borderId="40" xfId="1" applyNumberFormat="1" applyFont="1" applyBorder="1" applyAlignment="1">
      <alignment horizontal="center" vertical="center"/>
    </xf>
    <xf numFmtId="4" fontId="9" fillId="0" borderId="41" xfId="0" applyNumberFormat="1" applyFont="1" applyBorder="1" applyAlignment="1">
      <alignment horizontal="center"/>
    </xf>
    <xf numFmtId="1" fontId="9" fillId="0" borderId="30" xfId="1" applyNumberFormat="1" applyFont="1" applyBorder="1" applyAlignment="1">
      <alignment horizontal="center" vertical="center"/>
    </xf>
    <xf numFmtId="4" fontId="9" fillId="0" borderId="30" xfId="0" applyNumberFormat="1" applyFont="1" applyBorder="1"/>
    <xf numFmtId="10" fontId="10" fillId="0" borderId="30" xfId="1" applyNumberFormat="1" applyFont="1" applyBorder="1"/>
    <xf numFmtId="10" fontId="6" fillId="0" borderId="0" xfId="0" applyNumberFormat="1" applyFont="1"/>
    <xf numFmtId="0" fontId="0" fillId="0" borderId="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30" xfId="0" applyFont="1" applyBorder="1" applyAlignment="1">
      <alignment horizontal="center"/>
    </xf>
    <xf numFmtId="14" fontId="12" fillId="0" borderId="30" xfId="0" applyNumberFormat="1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2" fontId="6" fillId="0" borderId="30" xfId="0" applyNumberFormat="1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0" borderId="30" xfId="0" applyFont="1" applyBorder="1" applyAlignment="1">
      <alignment horizontal="center"/>
    </xf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vertical="center"/>
    </xf>
    <xf numFmtId="2" fontId="14" fillId="0" borderId="30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0" xfId="0" applyFont="1" applyBorder="1"/>
    <xf numFmtId="2" fontId="6" fillId="0" borderId="48" xfId="0" applyNumberFormat="1" applyFont="1" applyBorder="1"/>
    <xf numFmtId="2" fontId="6" fillId="0" borderId="30" xfId="0" applyNumberFormat="1" applyFont="1" applyBorder="1"/>
    <xf numFmtId="2" fontId="6" fillId="0" borderId="11" xfId="0" applyNumberFormat="1" applyFont="1" applyBorder="1"/>
    <xf numFmtId="0" fontId="6" fillId="0" borderId="30" xfId="0" applyFont="1" applyBorder="1"/>
    <xf numFmtId="2" fontId="6" fillId="0" borderId="44" xfId="0" applyNumberFormat="1" applyFont="1" applyBorder="1"/>
    <xf numFmtId="0" fontId="14" fillId="0" borderId="0" xfId="0" applyFont="1"/>
    <xf numFmtId="2" fontId="14" fillId="0" borderId="0" xfId="0" applyNumberFormat="1" applyFont="1"/>
    <xf numFmtId="0" fontId="14" fillId="0" borderId="30" xfId="0" applyFont="1" applyBorder="1" applyAlignment="1">
      <alignment horizontal="center" vertical="center" wrapText="1"/>
    </xf>
    <xf numFmtId="10" fontId="6" fillId="0" borderId="31" xfId="1" applyNumberFormat="1" applyFont="1" applyBorder="1" applyAlignment="1">
      <alignment horizontal="center"/>
    </xf>
    <xf numFmtId="2" fontId="6" fillId="0" borderId="31" xfId="0" applyNumberFormat="1" applyFont="1" applyBorder="1"/>
    <xf numFmtId="0" fontId="6" fillId="0" borderId="40" xfId="0" applyFont="1" applyBorder="1" applyAlignment="1">
      <alignment horizontal="center"/>
    </xf>
    <xf numFmtId="2" fontId="6" fillId="0" borderId="40" xfId="0" applyNumberFormat="1" applyFont="1" applyBorder="1"/>
    <xf numFmtId="10" fontId="6" fillId="0" borderId="40" xfId="1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2" fontId="6" fillId="0" borderId="41" xfId="0" applyNumberFormat="1" applyFont="1" applyBorder="1"/>
    <xf numFmtId="10" fontId="6" fillId="0" borderId="30" xfId="1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11" fillId="0" borderId="37" xfId="0" applyNumberFormat="1" applyFont="1" applyBorder="1" applyAlignment="1">
      <alignment horizontal="center"/>
    </xf>
    <xf numFmtId="4" fontId="11" fillId="0" borderId="46" xfId="0" applyNumberFormat="1" applyFont="1" applyBorder="1" applyAlignment="1">
      <alignment horizontal="center"/>
    </xf>
    <xf numFmtId="4" fontId="9" fillId="0" borderId="46" xfId="0" applyNumberFormat="1" applyFont="1" applyBorder="1" applyAlignment="1">
      <alignment horizontal="center"/>
    </xf>
    <xf numFmtId="4" fontId="9" fillId="0" borderId="49" xfId="0" applyNumberFormat="1" applyFont="1" applyBorder="1"/>
    <xf numFmtId="4" fontId="9" fillId="0" borderId="48" xfId="0" applyNumberFormat="1" applyFont="1" applyBorder="1"/>
    <xf numFmtId="4" fontId="9" fillId="0" borderId="41" xfId="1" applyNumberFormat="1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0" fillId="0" borderId="31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3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3" fillId="0" borderId="4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2" fontId="9" fillId="0" borderId="31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3" borderId="3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6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0242"/>
          <a:ext cx="2545291" cy="960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="" xmlns:a16="http://schemas.microsoft.com/office/drawing/2014/main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64"/>
  <sheetViews>
    <sheetView topLeftCell="A25" zoomScaleNormal="100" workbookViewId="0">
      <selection activeCell="N36" sqref="B2:N36"/>
    </sheetView>
  </sheetViews>
  <sheetFormatPr baseColWidth="10" defaultColWidth="12.42578125" defaultRowHeight="15.75" x14ac:dyDescent="0.25"/>
  <cols>
    <col min="1" max="1" width="4" style="60" customWidth="1"/>
    <col min="2" max="2" width="3.7109375" style="60" customWidth="1"/>
    <col min="3" max="3" width="9.5703125" style="60" customWidth="1"/>
    <col min="4" max="4" width="9.7109375" style="60" customWidth="1"/>
    <col min="5" max="5" width="6.42578125" style="60" customWidth="1"/>
    <col min="6" max="7" width="12.7109375" style="60" customWidth="1"/>
    <col min="8" max="8" width="17.42578125" style="61" customWidth="1"/>
    <col min="9" max="9" width="12.7109375" style="60" customWidth="1"/>
    <col min="10" max="10" width="14.42578125" style="61" bestFit="1" customWidth="1"/>
    <col min="11" max="12" width="12.7109375" style="60" customWidth="1"/>
    <col min="13" max="13" width="12.42578125" style="60"/>
    <col min="14" max="14" width="3.7109375" style="60" customWidth="1"/>
    <col min="15" max="16384" width="12.42578125" style="60"/>
  </cols>
  <sheetData>
    <row r="1" spans="2:14" ht="16.5" thickBot="1" x14ac:dyDescent="0.3"/>
    <row r="2" spans="2:14" ht="17.25" thickTop="1" thickBot="1" x14ac:dyDescent="0.3">
      <c r="B2" s="62"/>
      <c r="C2" s="63"/>
      <c r="D2" s="63"/>
      <c r="E2" s="63"/>
      <c r="F2" s="63"/>
      <c r="G2" s="63"/>
      <c r="H2" s="64"/>
      <c r="I2" s="63"/>
      <c r="J2" s="64"/>
      <c r="K2" s="63"/>
      <c r="L2" s="63"/>
      <c r="M2" s="63"/>
      <c r="N2" s="65"/>
    </row>
    <row r="3" spans="2:14" ht="17.25" thickTop="1" thickBot="1" x14ac:dyDescent="0.3">
      <c r="B3" s="66"/>
      <c r="G3" s="60" t="s">
        <v>53</v>
      </c>
      <c r="H3" s="60"/>
      <c r="J3" s="60"/>
      <c r="K3" s="68" t="s">
        <v>25</v>
      </c>
      <c r="L3" s="69">
        <f>+M35</f>
        <v>0.58813251645110065</v>
      </c>
      <c r="N3" s="70"/>
    </row>
    <row r="4" spans="2:14" ht="17.25" thickTop="1" thickBot="1" x14ac:dyDescent="0.3">
      <c r="B4" s="66"/>
      <c r="G4" s="61" t="s">
        <v>54</v>
      </c>
      <c r="K4" s="68" t="s">
        <v>26</v>
      </c>
      <c r="L4" s="72">
        <f>+L35/D35</f>
        <v>259.19000000000005</v>
      </c>
      <c r="N4" s="70"/>
    </row>
    <row r="5" spans="2:14" ht="16.5" thickTop="1" x14ac:dyDescent="0.25">
      <c r="B5" s="66"/>
      <c r="G5" s="61" t="s">
        <v>55</v>
      </c>
      <c r="K5" s="73"/>
      <c r="L5" s="74"/>
      <c r="N5" s="70"/>
    </row>
    <row r="6" spans="2:14" ht="16.5" thickBot="1" x14ac:dyDescent="0.3">
      <c r="B6" s="75"/>
      <c r="C6" s="76"/>
      <c r="D6" s="76"/>
      <c r="E6" s="76"/>
      <c r="F6" s="76"/>
      <c r="G6" s="76"/>
      <c r="H6" s="77"/>
      <c r="I6" s="76"/>
      <c r="J6" s="77"/>
      <c r="K6" s="76"/>
      <c r="L6" s="76"/>
      <c r="M6" s="76"/>
      <c r="N6" s="78"/>
    </row>
    <row r="7" spans="2:14" ht="8.1" customHeight="1" thickTop="1" x14ac:dyDescent="0.25">
      <c r="B7" s="62"/>
      <c r="C7" s="63"/>
      <c r="D7" s="63"/>
      <c r="E7" s="63"/>
      <c r="F7" s="63"/>
      <c r="G7" s="63"/>
      <c r="H7" s="64"/>
      <c r="I7" s="62"/>
      <c r="J7" s="64"/>
      <c r="K7" s="63"/>
      <c r="L7" s="63"/>
      <c r="M7" s="63"/>
      <c r="N7" s="65"/>
    </row>
    <row r="8" spans="2:14" x14ac:dyDescent="0.25">
      <c r="B8" s="66"/>
      <c r="C8" s="209" t="s">
        <v>56</v>
      </c>
      <c r="D8" s="209"/>
      <c r="E8" s="217" t="s">
        <v>102</v>
      </c>
      <c r="F8" s="217"/>
      <c r="G8" s="217"/>
      <c r="H8" s="218"/>
      <c r="I8" s="79" t="s">
        <v>57</v>
      </c>
      <c r="J8" s="213" t="s">
        <v>102</v>
      </c>
      <c r="K8" s="213"/>
      <c r="L8" s="213"/>
      <c r="M8" s="213"/>
      <c r="N8" s="70"/>
    </row>
    <row r="9" spans="2:14" x14ac:dyDescent="0.25">
      <c r="B9" s="66"/>
      <c r="C9" s="219" t="s">
        <v>58</v>
      </c>
      <c r="D9" s="219"/>
      <c r="E9" s="217">
        <v>65705</v>
      </c>
      <c r="F9" s="217"/>
      <c r="G9" s="217"/>
      <c r="H9" s="218"/>
      <c r="I9" s="79" t="s">
        <v>59</v>
      </c>
      <c r="J9" s="122" t="s">
        <v>104</v>
      </c>
      <c r="K9" s="109" t="s">
        <v>60</v>
      </c>
      <c r="L9" s="211" t="s">
        <v>105</v>
      </c>
      <c r="M9" s="211"/>
      <c r="N9" s="70"/>
    </row>
    <row r="10" spans="2:14" x14ac:dyDescent="0.25">
      <c r="B10" s="66"/>
      <c r="C10" s="123"/>
      <c r="D10" s="123"/>
      <c r="E10" s="124"/>
      <c r="F10" s="124"/>
      <c r="G10" s="124"/>
      <c r="H10" s="111"/>
      <c r="I10" s="79" t="s">
        <v>84</v>
      </c>
      <c r="J10" s="122">
        <v>46146</v>
      </c>
      <c r="K10" s="109" t="s">
        <v>85</v>
      </c>
      <c r="L10" s="216">
        <v>0.54861111111111105</v>
      </c>
      <c r="M10" s="211"/>
      <c r="N10" s="70"/>
    </row>
    <row r="11" spans="2:14" ht="8.1" customHeight="1" thickBot="1" x14ac:dyDescent="0.3">
      <c r="B11" s="75"/>
      <c r="C11" s="80"/>
      <c r="D11" s="80"/>
      <c r="E11" s="76"/>
      <c r="F11" s="76"/>
      <c r="G11" s="76"/>
      <c r="H11" s="77"/>
      <c r="I11" s="75"/>
      <c r="J11" s="77"/>
      <c r="K11" s="76"/>
      <c r="L11" s="76"/>
      <c r="M11" s="76"/>
      <c r="N11" s="78"/>
    </row>
    <row r="12" spans="2:14" ht="8.1" customHeight="1" thickTop="1" x14ac:dyDescent="0.25">
      <c r="B12" s="66"/>
      <c r="C12" s="81"/>
      <c r="D12" s="81"/>
      <c r="E12" s="67"/>
      <c r="F12" s="67"/>
      <c r="G12" s="67"/>
      <c r="H12" s="71"/>
      <c r="I12" s="67"/>
      <c r="J12" s="71"/>
      <c r="K12" s="67"/>
      <c r="L12" s="67"/>
      <c r="M12" s="67"/>
      <c r="N12" s="70"/>
    </row>
    <row r="13" spans="2:14" ht="8.1" customHeight="1" x14ac:dyDescent="0.25">
      <c r="B13" s="66"/>
      <c r="C13" s="125"/>
      <c r="D13" s="125"/>
      <c r="N13" s="70"/>
    </row>
    <row r="14" spans="2:14" x14ac:dyDescent="0.25">
      <c r="B14" s="66"/>
      <c r="D14" s="109" t="s">
        <v>77</v>
      </c>
      <c r="E14" s="215">
        <v>46147</v>
      </c>
      <c r="F14" s="215"/>
      <c r="H14" s="60"/>
      <c r="I14" s="82"/>
      <c r="J14" s="60"/>
      <c r="K14" s="112" t="s">
        <v>61</v>
      </c>
      <c r="L14" s="112" t="s">
        <v>62</v>
      </c>
      <c r="N14" s="70"/>
    </row>
    <row r="15" spans="2:14" x14ac:dyDescent="0.25">
      <c r="B15" s="66"/>
      <c r="C15" s="209" t="s">
        <v>63</v>
      </c>
      <c r="D15" s="209"/>
      <c r="E15" s="214">
        <v>174</v>
      </c>
      <c r="F15" s="214"/>
      <c r="H15" s="60"/>
      <c r="I15" s="82"/>
      <c r="J15" s="112" t="s">
        <v>64</v>
      </c>
      <c r="K15" s="110">
        <f>+COUNTIF($G$24:$G$35,"VQ")*2</f>
        <v>0</v>
      </c>
      <c r="L15" s="110">
        <f>+SUMIF($G$25:$G$34,"VQ",$L$25:$L$34)</f>
        <v>0</v>
      </c>
      <c r="N15" s="70"/>
    </row>
    <row r="16" spans="2:14" x14ac:dyDescent="0.25">
      <c r="B16" s="66"/>
      <c r="C16" s="209" t="s">
        <v>65</v>
      </c>
      <c r="D16" s="209"/>
      <c r="E16" s="211">
        <v>10</v>
      </c>
      <c r="F16" s="211"/>
      <c r="H16" s="60"/>
      <c r="I16" s="82"/>
      <c r="J16" s="112" t="s">
        <v>66</v>
      </c>
      <c r="K16" s="110">
        <f>+COUNTIF($G$24:$G$35,"NT")*2</f>
        <v>0</v>
      </c>
      <c r="L16" s="110">
        <f>+SUMIF($G$25:$G$34,"NT",$L$25:$L$34)</f>
        <v>0</v>
      </c>
      <c r="N16" s="70"/>
    </row>
    <row r="17" spans="2:14" x14ac:dyDescent="0.25">
      <c r="B17" s="66"/>
      <c r="C17" s="209" t="s">
        <v>67</v>
      </c>
      <c r="D17" s="209"/>
      <c r="E17" s="210">
        <f>+I35</f>
        <v>4407</v>
      </c>
      <c r="F17" s="211"/>
      <c r="H17" s="60"/>
      <c r="I17" s="82"/>
      <c r="J17" s="112" t="s">
        <v>68</v>
      </c>
      <c r="K17" s="110">
        <f>+COUNTIF($G$24:$G$35,"NO")*2</f>
        <v>0</v>
      </c>
      <c r="L17" s="110">
        <f>+SUMIF($G$25:$G$34,"NO",$L$25:$L$34)</f>
        <v>0</v>
      </c>
      <c r="N17" s="70"/>
    </row>
    <row r="18" spans="2:14" x14ac:dyDescent="0.25">
      <c r="B18" s="66"/>
      <c r="C18" s="209" t="s">
        <v>69</v>
      </c>
      <c r="D18" s="209"/>
      <c r="E18" s="210">
        <f>+L35</f>
        <v>2591.9000000000005</v>
      </c>
      <c r="F18" s="211"/>
      <c r="H18" s="60"/>
      <c r="I18" s="82"/>
      <c r="J18" s="112" t="s">
        <v>70</v>
      </c>
      <c r="K18" s="110">
        <f>+COUNTIF($G$24:$G$35,"TO")*2</f>
        <v>0</v>
      </c>
      <c r="L18" s="110">
        <f>+SUMIF($G$25:$G$34,"TO",$L$25:$L$34)</f>
        <v>0</v>
      </c>
      <c r="N18" s="70"/>
    </row>
    <row r="19" spans="2:14" x14ac:dyDescent="0.25">
      <c r="B19" s="66"/>
      <c r="C19" s="209" t="s">
        <v>71</v>
      </c>
      <c r="D19" s="209"/>
      <c r="E19" s="212">
        <f>+M35</f>
        <v>0.58813251645110065</v>
      </c>
      <c r="F19" s="211"/>
      <c r="G19" s="82"/>
      <c r="H19" s="126"/>
      <c r="I19" s="82"/>
      <c r="J19" s="112" t="s">
        <v>72</v>
      </c>
      <c r="K19" s="110">
        <f>+COUNTIF($G$24:$G$35,"VA")*2</f>
        <v>4</v>
      </c>
      <c r="L19" s="110">
        <f>+SUMIF($G$25:$G$34,"VA",$L$25:$L$34)</f>
        <v>478.40000000000003</v>
      </c>
      <c r="N19" s="70"/>
    </row>
    <row r="20" spans="2:14" x14ac:dyDescent="0.25">
      <c r="B20" s="66"/>
      <c r="C20" s="209" t="s">
        <v>73</v>
      </c>
      <c r="D20" s="209"/>
      <c r="E20" s="213">
        <f>+L35/D35</f>
        <v>259.19000000000005</v>
      </c>
      <c r="F20" s="213"/>
      <c r="G20" s="82"/>
      <c r="H20" s="126"/>
      <c r="I20" s="82"/>
      <c r="J20" s="112" t="s">
        <v>74</v>
      </c>
      <c r="K20" s="110">
        <f>+COUNTIF($G$24:$G$35,"MEJ")*2</f>
        <v>16</v>
      </c>
      <c r="L20" s="110">
        <f>+SUMIF($G$25:$G$34,"MEJ",$L$25:$L$34)</f>
        <v>2113.5</v>
      </c>
      <c r="N20" s="70"/>
    </row>
    <row r="21" spans="2:14" ht="9.9499999999999993" customHeight="1" thickBot="1" x14ac:dyDescent="0.3">
      <c r="B21" s="75"/>
      <c r="C21" s="83"/>
      <c r="D21" s="83"/>
      <c r="E21" s="76"/>
      <c r="F21" s="76"/>
      <c r="G21" s="84"/>
      <c r="H21" s="85"/>
      <c r="I21" s="84"/>
      <c r="J21" s="76"/>
      <c r="K21" s="76"/>
      <c r="L21" s="76"/>
      <c r="M21" s="76"/>
      <c r="N21" s="78"/>
    </row>
    <row r="22" spans="2:14" ht="9.9499999999999993" customHeight="1" thickTop="1" x14ac:dyDescent="0.25">
      <c r="B22" s="66"/>
      <c r="N22" s="70"/>
    </row>
    <row r="23" spans="2:14" s="88" customFormat="1" ht="26.25" customHeight="1" x14ac:dyDescent="0.25">
      <c r="B23" s="86"/>
      <c r="C23" s="194" t="s">
        <v>27</v>
      </c>
      <c r="D23" s="194" t="s">
        <v>28</v>
      </c>
      <c r="E23" s="197" t="s">
        <v>52</v>
      </c>
      <c r="F23" s="199" t="s">
        <v>29</v>
      </c>
      <c r="G23" s="200"/>
      <c r="H23" s="201" t="s">
        <v>30</v>
      </c>
      <c r="I23" s="203" t="s">
        <v>31</v>
      </c>
      <c r="J23" s="203" t="s">
        <v>2</v>
      </c>
      <c r="K23" s="197" t="s">
        <v>3</v>
      </c>
      <c r="L23" s="203" t="s">
        <v>32</v>
      </c>
      <c r="M23" s="207" t="s">
        <v>33</v>
      </c>
      <c r="N23" s="87"/>
    </row>
    <row r="24" spans="2:14" x14ac:dyDescent="0.25">
      <c r="B24" s="66"/>
      <c r="C24" s="195"/>
      <c r="D24" s="196"/>
      <c r="E24" s="198"/>
      <c r="F24" s="173" t="s">
        <v>75</v>
      </c>
      <c r="G24" s="89" t="s">
        <v>76</v>
      </c>
      <c r="H24" s="202"/>
      <c r="I24" s="204"/>
      <c r="J24" s="205"/>
      <c r="K24" s="206"/>
      <c r="L24" s="204"/>
      <c r="M24" s="208"/>
      <c r="N24" s="70"/>
    </row>
    <row r="25" spans="2:14" x14ac:dyDescent="0.25">
      <c r="B25" s="66"/>
      <c r="C25" s="90">
        <v>1</v>
      </c>
      <c r="D25" s="90">
        <v>6</v>
      </c>
      <c r="E25" s="177" t="s">
        <v>107</v>
      </c>
      <c r="F25" s="174" t="s">
        <v>155</v>
      </c>
      <c r="G25" s="170" t="s">
        <v>74</v>
      </c>
      <c r="H25" s="92" t="s">
        <v>114</v>
      </c>
      <c r="I25" s="153">
        <v>407</v>
      </c>
      <c r="J25" s="179">
        <v>117.3</v>
      </c>
      <c r="K25" s="178">
        <v>116.6</v>
      </c>
      <c r="L25" s="156">
        <f t="shared" ref="L25:L34" si="0">+J25+K25</f>
        <v>233.89999999999998</v>
      </c>
      <c r="M25" s="93">
        <f t="shared" ref="M25:M35" si="1">+L25/I25</f>
        <v>0.57469287469287467</v>
      </c>
      <c r="N25" s="70"/>
    </row>
    <row r="26" spans="2:14" x14ac:dyDescent="0.25">
      <c r="B26" s="66"/>
      <c r="C26" s="94">
        <v>2</v>
      </c>
      <c r="D26" s="94">
        <v>4</v>
      </c>
      <c r="E26" s="169" t="s">
        <v>107</v>
      </c>
      <c r="F26" s="175" t="s">
        <v>155</v>
      </c>
      <c r="G26" s="171" t="s">
        <v>74</v>
      </c>
      <c r="H26" s="96" t="s">
        <v>112</v>
      </c>
      <c r="I26" s="154">
        <v>389</v>
      </c>
      <c r="J26" s="165">
        <v>114.1</v>
      </c>
      <c r="K26" s="161">
        <v>114.9</v>
      </c>
      <c r="L26" s="157">
        <f t="shared" si="0"/>
        <v>229</v>
      </c>
      <c r="M26" s="97">
        <f t="shared" si="1"/>
        <v>0.58868894601542421</v>
      </c>
      <c r="N26" s="70"/>
    </row>
    <row r="27" spans="2:14" x14ac:dyDescent="0.25">
      <c r="B27" s="66"/>
      <c r="C27" s="94">
        <v>3</v>
      </c>
      <c r="D27" s="94">
        <v>1</v>
      </c>
      <c r="E27" s="169" t="s">
        <v>106</v>
      </c>
      <c r="F27" s="175" t="s">
        <v>155</v>
      </c>
      <c r="G27" s="171" t="s">
        <v>74</v>
      </c>
      <c r="H27" s="96" t="s">
        <v>109</v>
      </c>
      <c r="I27" s="154">
        <v>396</v>
      </c>
      <c r="J27" s="165">
        <v>113.8</v>
      </c>
      <c r="K27" s="161">
        <v>114.5</v>
      </c>
      <c r="L27" s="157">
        <f t="shared" si="0"/>
        <v>228.3</v>
      </c>
      <c r="M27" s="97">
        <f t="shared" si="1"/>
        <v>0.57651515151515154</v>
      </c>
      <c r="N27" s="70"/>
    </row>
    <row r="28" spans="2:14" x14ac:dyDescent="0.25">
      <c r="B28" s="66"/>
      <c r="C28" s="94">
        <v>4</v>
      </c>
      <c r="D28" s="94">
        <v>5</v>
      </c>
      <c r="E28" s="169" t="s">
        <v>107</v>
      </c>
      <c r="F28" s="175" t="s">
        <v>156</v>
      </c>
      <c r="G28" s="171" t="s">
        <v>72</v>
      </c>
      <c r="H28" s="96" t="s">
        <v>113</v>
      </c>
      <c r="I28" s="154">
        <v>410</v>
      </c>
      <c r="J28" s="165">
        <v>123.7</v>
      </c>
      <c r="K28" s="161">
        <v>122.9</v>
      </c>
      <c r="L28" s="157">
        <f t="shared" si="0"/>
        <v>246.60000000000002</v>
      </c>
      <c r="M28" s="97">
        <f t="shared" si="1"/>
        <v>0.60146341463414643</v>
      </c>
      <c r="N28" s="70"/>
    </row>
    <row r="29" spans="2:14" x14ac:dyDescent="0.25">
      <c r="B29" s="66"/>
      <c r="C29" s="94">
        <v>5</v>
      </c>
      <c r="D29" s="94">
        <v>2</v>
      </c>
      <c r="E29" s="169" t="s">
        <v>107</v>
      </c>
      <c r="F29" s="175" t="s">
        <v>155</v>
      </c>
      <c r="G29" s="171" t="s">
        <v>74</v>
      </c>
      <c r="H29" s="96" t="s">
        <v>110</v>
      </c>
      <c r="I29" s="154">
        <v>452</v>
      </c>
      <c r="J29" s="165">
        <v>130.9</v>
      </c>
      <c r="K29" s="161">
        <v>133.5</v>
      </c>
      <c r="L29" s="157">
        <f t="shared" si="0"/>
        <v>264.39999999999998</v>
      </c>
      <c r="M29" s="97">
        <f t="shared" si="1"/>
        <v>0.58495575221238938</v>
      </c>
      <c r="N29" s="70"/>
    </row>
    <row r="30" spans="2:14" x14ac:dyDescent="0.25">
      <c r="B30" s="66"/>
      <c r="C30" s="94">
        <v>6</v>
      </c>
      <c r="D30" s="94">
        <v>9</v>
      </c>
      <c r="E30" s="169" t="s">
        <v>107</v>
      </c>
      <c r="F30" s="175" t="s">
        <v>155</v>
      </c>
      <c r="G30" s="171" t="s">
        <v>74</v>
      </c>
      <c r="H30" s="96" t="s">
        <v>117</v>
      </c>
      <c r="I30" s="154">
        <v>449</v>
      </c>
      <c r="J30" s="165">
        <v>133.6</v>
      </c>
      <c r="K30" s="161">
        <v>134.5</v>
      </c>
      <c r="L30" s="157">
        <f t="shared" si="0"/>
        <v>268.10000000000002</v>
      </c>
      <c r="M30" s="97">
        <f t="shared" si="1"/>
        <v>0.5971046770601337</v>
      </c>
      <c r="N30" s="70"/>
    </row>
    <row r="31" spans="2:14" x14ac:dyDescent="0.25">
      <c r="B31" s="66"/>
      <c r="C31" s="94">
        <v>7</v>
      </c>
      <c r="D31" s="94">
        <v>7</v>
      </c>
      <c r="E31" s="169" t="s">
        <v>108</v>
      </c>
      <c r="F31" s="175" t="s">
        <v>155</v>
      </c>
      <c r="G31" s="171" t="s">
        <v>74</v>
      </c>
      <c r="H31" s="96" t="s">
        <v>115</v>
      </c>
      <c r="I31" s="154">
        <v>520</v>
      </c>
      <c r="J31" s="165">
        <v>157.9</v>
      </c>
      <c r="K31" s="161">
        <v>159</v>
      </c>
      <c r="L31" s="157">
        <f t="shared" si="0"/>
        <v>316.89999999999998</v>
      </c>
      <c r="M31" s="97">
        <f t="shared" si="1"/>
        <v>0.60942307692307685</v>
      </c>
      <c r="N31" s="70"/>
    </row>
    <row r="32" spans="2:14" x14ac:dyDescent="0.25">
      <c r="B32" s="66"/>
      <c r="C32" s="94">
        <v>8</v>
      </c>
      <c r="D32" s="94">
        <v>3</v>
      </c>
      <c r="E32" s="169" t="s">
        <v>106</v>
      </c>
      <c r="F32" s="175" t="s">
        <v>155</v>
      </c>
      <c r="G32" s="171" t="s">
        <v>74</v>
      </c>
      <c r="H32" s="96" t="s">
        <v>111</v>
      </c>
      <c r="I32" s="154">
        <v>473</v>
      </c>
      <c r="J32" s="165">
        <v>139.30000000000001</v>
      </c>
      <c r="K32" s="161">
        <v>139.30000000000001</v>
      </c>
      <c r="L32" s="157">
        <f t="shared" si="0"/>
        <v>278.60000000000002</v>
      </c>
      <c r="M32" s="97">
        <f t="shared" si="1"/>
        <v>0.58900634249471462</v>
      </c>
      <c r="N32" s="70"/>
    </row>
    <row r="33" spans="2:14" x14ac:dyDescent="0.25">
      <c r="B33" s="66"/>
      <c r="C33" s="94">
        <v>9</v>
      </c>
      <c r="D33" s="94">
        <v>8</v>
      </c>
      <c r="E33" s="169" t="s">
        <v>108</v>
      </c>
      <c r="F33" s="175" t="s">
        <v>156</v>
      </c>
      <c r="G33" s="171" t="s">
        <v>72</v>
      </c>
      <c r="H33" s="96" t="s">
        <v>116</v>
      </c>
      <c r="I33" s="154">
        <v>405</v>
      </c>
      <c r="J33" s="165">
        <v>114.9</v>
      </c>
      <c r="K33" s="161">
        <v>116.9</v>
      </c>
      <c r="L33" s="157">
        <f t="shared" si="0"/>
        <v>231.8</v>
      </c>
      <c r="M33" s="97">
        <f t="shared" si="1"/>
        <v>0.57234567901234568</v>
      </c>
      <c r="N33" s="70"/>
    </row>
    <row r="34" spans="2:14" x14ac:dyDescent="0.25">
      <c r="B34" s="66"/>
      <c r="C34" s="95">
        <v>10</v>
      </c>
      <c r="D34" s="94">
        <v>10</v>
      </c>
      <c r="E34" s="168" t="s">
        <v>106</v>
      </c>
      <c r="F34" s="176" t="s">
        <v>155</v>
      </c>
      <c r="G34" s="171" t="s">
        <v>74</v>
      </c>
      <c r="H34" s="96" t="s">
        <v>118</v>
      </c>
      <c r="I34" s="154">
        <v>506</v>
      </c>
      <c r="J34" s="166">
        <v>145.9</v>
      </c>
      <c r="K34" s="162">
        <v>148.4</v>
      </c>
      <c r="L34" s="157">
        <f t="shared" si="0"/>
        <v>294.3</v>
      </c>
      <c r="M34" s="97">
        <f t="shared" si="1"/>
        <v>0.58162055335968377</v>
      </c>
      <c r="N34" s="70"/>
    </row>
    <row r="35" spans="2:14" x14ac:dyDescent="0.25">
      <c r="B35" s="66"/>
      <c r="C35" s="108"/>
      <c r="D35" s="108">
        <f>+COUNT($D$24:$D$34)</f>
        <v>10</v>
      </c>
      <c r="E35" s="108"/>
      <c r="F35" s="190"/>
      <c r="G35" s="191"/>
      <c r="H35" s="101"/>
      <c r="I35" s="102">
        <f>SUM($I$24:$I$34)</f>
        <v>4407</v>
      </c>
      <c r="J35" s="100">
        <f>SUM($J$24:$J$34)</f>
        <v>1291.4000000000001</v>
      </c>
      <c r="K35" s="158">
        <f>SUM($K$24:$K$34)</f>
        <v>1300.5000000000002</v>
      </c>
      <c r="L35" s="102">
        <f>SUM($L$24:$L$34)</f>
        <v>2591.9000000000005</v>
      </c>
      <c r="M35" s="103">
        <f t="shared" si="1"/>
        <v>0.58813251645110065</v>
      </c>
      <c r="N35" s="70"/>
    </row>
    <row r="36" spans="2:14" ht="16.5" thickBot="1" x14ac:dyDescent="0.3">
      <c r="B36" s="75"/>
      <c r="C36" s="76"/>
      <c r="D36" s="76"/>
      <c r="E36" s="76"/>
      <c r="F36" s="76"/>
      <c r="G36" s="76"/>
      <c r="H36" s="77"/>
      <c r="I36" s="76"/>
      <c r="J36" s="77"/>
      <c r="K36" s="76"/>
      <c r="L36" s="76"/>
      <c r="M36" s="76"/>
      <c r="N36" s="78"/>
    </row>
    <row r="37" spans="2:14" ht="17.25" thickTop="1" thickBot="1" x14ac:dyDescent="0.3">
      <c r="B37" s="63"/>
      <c r="C37" s="63"/>
      <c r="D37" s="63"/>
      <c r="E37" s="63"/>
      <c r="F37" s="63"/>
      <c r="G37" s="63"/>
      <c r="H37" s="64"/>
      <c r="I37" s="63"/>
      <c r="J37" s="64"/>
      <c r="K37" s="63"/>
      <c r="L37" s="63"/>
      <c r="M37" s="63"/>
      <c r="N37" s="63"/>
    </row>
    <row r="38" spans="2:14" ht="16.5" thickTop="1" x14ac:dyDescent="0.25">
      <c r="B38" s="62"/>
      <c r="C38" s="63"/>
      <c r="D38" s="63"/>
      <c r="E38" s="63"/>
      <c r="F38" s="63"/>
      <c r="G38" s="63"/>
      <c r="H38" s="64"/>
      <c r="I38" s="63"/>
      <c r="J38" s="64"/>
      <c r="K38" s="63"/>
      <c r="L38" s="63"/>
      <c r="M38" s="63"/>
      <c r="N38" s="65"/>
    </row>
    <row r="39" spans="2:14" ht="32.25" customHeight="1" x14ac:dyDescent="0.25">
      <c r="B39" s="66"/>
      <c r="D39" s="192" t="s">
        <v>86</v>
      </c>
      <c r="E39" s="193"/>
      <c r="F39" s="193"/>
      <c r="G39" s="193"/>
      <c r="H39" s="127" t="s">
        <v>87</v>
      </c>
      <c r="I39" s="128" t="s">
        <v>62</v>
      </c>
      <c r="J39" s="129" t="s">
        <v>88</v>
      </c>
      <c r="K39" s="130" t="s">
        <v>89</v>
      </c>
      <c r="N39" s="70"/>
    </row>
    <row r="40" spans="2:14" x14ac:dyDescent="0.25">
      <c r="B40" s="66"/>
      <c r="D40" s="188" t="s">
        <v>20</v>
      </c>
      <c r="E40" s="189"/>
      <c r="F40" s="189"/>
      <c r="G40" s="189"/>
      <c r="H40" s="131"/>
      <c r="J40" s="131"/>
      <c r="K40" s="132"/>
      <c r="N40" s="70"/>
    </row>
    <row r="41" spans="2:14" x14ac:dyDescent="0.25">
      <c r="B41" s="66"/>
      <c r="D41" s="188" t="s">
        <v>7</v>
      </c>
      <c r="E41" s="189"/>
      <c r="F41" s="189"/>
      <c r="G41" s="189"/>
      <c r="H41" s="131"/>
      <c r="J41" s="131"/>
      <c r="K41" s="132"/>
      <c r="N41" s="70"/>
    </row>
    <row r="42" spans="2:14" x14ac:dyDescent="0.25">
      <c r="B42" s="66"/>
      <c r="D42" s="188" t="s">
        <v>6</v>
      </c>
      <c r="E42" s="189"/>
      <c r="F42" s="189"/>
      <c r="G42" s="189"/>
      <c r="H42" s="131"/>
      <c r="J42" s="131"/>
      <c r="K42" s="132"/>
      <c r="N42" s="70"/>
    </row>
    <row r="43" spans="2:14" x14ac:dyDescent="0.25">
      <c r="B43" s="66"/>
      <c r="D43" s="188" t="s">
        <v>10</v>
      </c>
      <c r="E43" s="189"/>
      <c r="F43" s="189"/>
      <c r="G43" s="189"/>
      <c r="H43" s="131"/>
      <c r="J43" s="131"/>
      <c r="K43" s="132"/>
      <c r="N43" s="70"/>
    </row>
    <row r="44" spans="2:14" x14ac:dyDescent="0.25">
      <c r="B44" s="66"/>
      <c r="D44" s="188" t="s">
        <v>21</v>
      </c>
      <c r="E44" s="189"/>
      <c r="F44" s="189"/>
      <c r="G44" s="189"/>
      <c r="H44" s="131"/>
      <c r="J44" s="131"/>
      <c r="K44" s="132"/>
      <c r="N44" s="70"/>
    </row>
    <row r="45" spans="2:14" x14ac:dyDescent="0.25">
      <c r="B45" s="66"/>
      <c r="D45" s="188" t="s">
        <v>5</v>
      </c>
      <c r="E45" s="189"/>
      <c r="F45" s="189"/>
      <c r="G45" s="189"/>
      <c r="H45" s="131"/>
      <c r="J45" s="131"/>
      <c r="K45" s="132"/>
      <c r="N45" s="70"/>
    </row>
    <row r="46" spans="2:14" x14ac:dyDescent="0.25">
      <c r="B46" s="66"/>
      <c r="D46" s="188" t="s">
        <v>22</v>
      </c>
      <c r="E46" s="189"/>
      <c r="F46" s="189"/>
      <c r="G46" s="189"/>
      <c r="H46" s="131"/>
      <c r="J46" s="131"/>
      <c r="K46" s="132"/>
      <c r="N46" s="70"/>
    </row>
    <row r="47" spans="2:14" x14ac:dyDescent="0.25">
      <c r="B47" s="66"/>
      <c r="D47" s="188" t="s">
        <v>8</v>
      </c>
      <c r="E47" s="189"/>
      <c r="F47" s="189"/>
      <c r="G47" s="189"/>
      <c r="H47" s="131"/>
      <c r="J47" s="131"/>
      <c r="K47" s="132"/>
      <c r="N47" s="70"/>
    </row>
    <row r="48" spans="2:14" x14ac:dyDescent="0.25">
      <c r="B48" s="66"/>
      <c r="D48" s="188" t="s">
        <v>23</v>
      </c>
      <c r="E48" s="189"/>
      <c r="F48" s="189"/>
      <c r="G48" s="189"/>
      <c r="H48" s="131"/>
      <c r="J48" s="131"/>
      <c r="K48" s="132"/>
      <c r="N48" s="70"/>
    </row>
    <row r="49" spans="2:14" x14ac:dyDescent="0.25">
      <c r="B49" s="66"/>
      <c r="D49" s="188" t="s">
        <v>36</v>
      </c>
      <c r="E49" s="189"/>
      <c r="F49" s="189"/>
      <c r="G49" s="189"/>
      <c r="H49" s="131"/>
      <c r="J49" s="131"/>
      <c r="K49" s="132"/>
      <c r="N49" s="70"/>
    </row>
    <row r="50" spans="2:14" x14ac:dyDescent="0.25">
      <c r="B50" s="66"/>
      <c r="D50" s="188" t="s">
        <v>9</v>
      </c>
      <c r="E50" s="189"/>
      <c r="F50" s="189"/>
      <c r="G50" s="189"/>
      <c r="H50" s="131"/>
      <c r="J50" s="131"/>
      <c r="K50" s="132"/>
      <c r="N50" s="70"/>
    </row>
    <row r="51" spans="2:14" x14ac:dyDescent="0.25">
      <c r="B51" s="66"/>
      <c r="D51" s="188" t="s">
        <v>24</v>
      </c>
      <c r="E51" s="189"/>
      <c r="F51" s="189"/>
      <c r="G51" s="189"/>
      <c r="H51" s="131"/>
      <c r="J51" s="131"/>
      <c r="K51" s="132"/>
      <c r="N51" s="70"/>
    </row>
    <row r="52" spans="2:14" x14ac:dyDescent="0.25">
      <c r="B52" s="66"/>
      <c r="D52" s="188" t="s">
        <v>37</v>
      </c>
      <c r="E52" s="189"/>
      <c r="F52" s="189"/>
      <c r="G52" s="189"/>
      <c r="H52" s="131"/>
      <c r="J52" s="131"/>
      <c r="K52" s="132"/>
      <c r="N52" s="70"/>
    </row>
    <row r="53" spans="2:14" x14ac:dyDescent="0.25">
      <c r="B53" s="66"/>
      <c r="D53" s="183" t="s">
        <v>90</v>
      </c>
      <c r="E53" s="184"/>
      <c r="F53" s="184"/>
      <c r="G53" s="185"/>
      <c r="H53" s="133"/>
      <c r="I53" s="134">
        <f>SUM(I40:I52)</f>
        <v>0</v>
      </c>
      <c r="J53" s="135">
        <f>SUM(J40:J52)</f>
        <v>0</v>
      </c>
      <c r="K53" s="136">
        <f>SUM(K40:K52)</f>
        <v>0</v>
      </c>
      <c r="N53" s="70"/>
    </row>
    <row r="54" spans="2:14" ht="16.5" thickBot="1" x14ac:dyDescent="0.3">
      <c r="B54" s="75"/>
      <c r="C54" s="76"/>
      <c r="D54" s="76"/>
      <c r="E54" s="76"/>
      <c r="F54" s="76"/>
      <c r="G54" s="76"/>
      <c r="H54" s="77"/>
      <c r="I54" s="76"/>
      <c r="J54" s="77"/>
      <c r="K54" s="76"/>
      <c r="L54" s="76"/>
      <c r="M54" s="76"/>
      <c r="N54" s="78"/>
    </row>
    <row r="55" spans="2:14" ht="16.5" thickTop="1" x14ac:dyDescent="0.25">
      <c r="B55" s="66"/>
      <c r="G55" s="137"/>
      <c r="H55" s="138"/>
      <c r="I55" s="137"/>
      <c r="J55" s="138"/>
      <c r="N55" s="70"/>
    </row>
    <row r="56" spans="2:14" ht="15.75" customHeight="1" x14ac:dyDescent="0.25">
      <c r="B56" s="66"/>
      <c r="F56" s="186" t="s">
        <v>91</v>
      </c>
      <c r="G56" s="186"/>
      <c r="H56" s="139" t="s">
        <v>92</v>
      </c>
      <c r="I56" s="127" t="s">
        <v>80</v>
      </c>
      <c r="N56" s="70"/>
    </row>
    <row r="57" spans="2:14" x14ac:dyDescent="0.25">
      <c r="B57" s="66"/>
      <c r="F57" s="187" t="s">
        <v>35</v>
      </c>
      <c r="G57" s="187"/>
      <c r="H57" s="140"/>
      <c r="I57" s="141"/>
      <c r="N57" s="70"/>
    </row>
    <row r="58" spans="2:14" x14ac:dyDescent="0.25">
      <c r="B58" s="66"/>
      <c r="F58" s="180" t="s">
        <v>93</v>
      </c>
      <c r="G58" s="180"/>
      <c r="H58" s="142">
        <f>+D35</f>
        <v>10</v>
      </c>
      <c r="I58" s="143"/>
      <c r="N58" s="70"/>
    </row>
    <row r="59" spans="2:14" x14ac:dyDescent="0.25">
      <c r="B59" s="66"/>
      <c r="F59" s="180" t="s">
        <v>94</v>
      </c>
      <c r="G59" s="180"/>
      <c r="H59" s="144"/>
      <c r="I59" s="143"/>
      <c r="N59" s="70"/>
    </row>
    <row r="60" spans="2:14" x14ac:dyDescent="0.25">
      <c r="B60" s="66"/>
      <c r="F60" s="180" t="s">
        <v>95</v>
      </c>
      <c r="G60" s="180"/>
      <c r="H60" s="144"/>
      <c r="I60" s="143"/>
      <c r="N60" s="70"/>
    </row>
    <row r="61" spans="2:14" x14ac:dyDescent="0.25">
      <c r="B61" s="66"/>
      <c r="F61" s="181" t="s">
        <v>96</v>
      </c>
      <c r="G61" s="181"/>
      <c r="H61" s="145"/>
      <c r="I61" s="146"/>
      <c r="N61" s="70"/>
    </row>
    <row r="62" spans="2:14" x14ac:dyDescent="0.25">
      <c r="B62" s="66"/>
      <c r="F62" s="182" t="s">
        <v>90</v>
      </c>
      <c r="G62" s="182"/>
      <c r="H62" s="147"/>
      <c r="I62" s="133">
        <f>SUM(I57:I61)</f>
        <v>0</v>
      </c>
      <c r="N62" s="70"/>
    </row>
    <row r="63" spans="2:14" ht="16.5" thickBot="1" x14ac:dyDescent="0.3">
      <c r="B63" s="75"/>
      <c r="C63" s="76"/>
      <c r="D63" s="76"/>
      <c r="E63" s="76"/>
      <c r="F63" s="76"/>
      <c r="G63" s="76"/>
      <c r="H63" s="77"/>
      <c r="I63" s="76"/>
      <c r="J63" s="77"/>
      <c r="K63" s="76"/>
      <c r="L63" s="76"/>
      <c r="M63" s="76"/>
      <c r="N63" s="78"/>
    </row>
    <row r="64" spans="2:14" ht="16.5" thickTop="1" x14ac:dyDescent="0.25">
      <c r="I64" s="104"/>
    </row>
  </sheetData>
  <sortState ref="C25:I34">
    <sortCondition ref="C25"/>
  </sortState>
  <mergeCells count="53">
    <mergeCell ref="L9:M9"/>
    <mergeCell ref="E14:F14"/>
    <mergeCell ref="L10:M10"/>
    <mergeCell ref="C8:D8"/>
    <mergeCell ref="E8:H8"/>
    <mergeCell ref="C9:D9"/>
    <mergeCell ref="E9:H9"/>
    <mergeCell ref="J8:M8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I23:I24"/>
    <mergeCell ref="J23:J24"/>
    <mergeCell ref="K23:K24"/>
    <mergeCell ref="L23:L24"/>
    <mergeCell ref="M23:M24"/>
    <mergeCell ref="C23:C24"/>
    <mergeCell ref="D23:D24"/>
    <mergeCell ref="E23:E24"/>
    <mergeCell ref="F23:G23"/>
    <mergeCell ref="H23:H24"/>
    <mergeCell ref="F35:G35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F60:G60"/>
    <mergeCell ref="F61:G61"/>
    <mergeCell ref="F62:G62"/>
    <mergeCell ref="D53:G53"/>
    <mergeCell ref="F56:G56"/>
    <mergeCell ref="F57:G57"/>
    <mergeCell ref="F58:G58"/>
    <mergeCell ref="F59:G59"/>
  </mergeCells>
  <conditionalFormatting sqref="M25:M34">
    <cfRule type="cellIs" dxfId="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89"/>
  <sheetViews>
    <sheetView topLeftCell="A50" zoomScaleNormal="100" workbookViewId="0">
      <selection activeCell="N61" sqref="B2:N61"/>
    </sheetView>
  </sheetViews>
  <sheetFormatPr baseColWidth="10" defaultColWidth="12.42578125" defaultRowHeight="15.75" x14ac:dyDescent="0.25"/>
  <cols>
    <col min="1" max="1" width="4" style="60" customWidth="1"/>
    <col min="2" max="2" width="3.7109375" style="60" customWidth="1"/>
    <col min="3" max="3" width="9.5703125" style="60" customWidth="1"/>
    <col min="4" max="4" width="9.7109375" style="60" customWidth="1"/>
    <col min="5" max="5" width="6.42578125" style="60" customWidth="1"/>
    <col min="6" max="7" width="12.7109375" style="60" customWidth="1"/>
    <col min="8" max="8" width="17.42578125" style="61" customWidth="1"/>
    <col min="9" max="9" width="12.7109375" style="60" customWidth="1"/>
    <col min="10" max="10" width="14.42578125" style="61" bestFit="1" customWidth="1"/>
    <col min="11" max="12" width="12.7109375" style="60" customWidth="1"/>
    <col min="13" max="13" width="12.42578125" style="60"/>
    <col min="14" max="14" width="3.7109375" style="60" customWidth="1"/>
    <col min="15" max="16384" width="12.42578125" style="60"/>
  </cols>
  <sheetData>
    <row r="1" spans="2:14" ht="16.5" thickBot="1" x14ac:dyDescent="0.3"/>
    <row r="2" spans="2:14" ht="17.25" thickTop="1" thickBot="1" x14ac:dyDescent="0.3">
      <c r="B2" s="62"/>
      <c r="C2" s="63"/>
      <c r="D2" s="63"/>
      <c r="E2" s="63"/>
      <c r="F2" s="63"/>
      <c r="G2" s="63"/>
      <c r="H2" s="64"/>
      <c r="I2" s="63"/>
      <c r="J2" s="64"/>
      <c r="K2" s="63"/>
      <c r="L2" s="63"/>
      <c r="M2" s="63"/>
      <c r="N2" s="65"/>
    </row>
    <row r="3" spans="2:14" ht="17.25" thickTop="1" thickBot="1" x14ac:dyDescent="0.3">
      <c r="B3" s="66"/>
      <c r="G3" s="60" t="s">
        <v>53</v>
      </c>
      <c r="H3" s="60"/>
      <c r="J3" s="60"/>
      <c r="K3" s="68" t="s">
        <v>25</v>
      </c>
      <c r="L3" s="69">
        <f>+M60</f>
        <v>0.59877899197145401</v>
      </c>
      <c r="N3" s="70"/>
    </row>
    <row r="4" spans="2:14" ht="17.25" thickTop="1" thickBot="1" x14ac:dyDescent="0.3">
      <c r="B4" s="66"/>
      <c r="G4" s="61" t="s">
        <v>54</v>
      </c>
      <c r="K4" s="68" t="s">
        <v>26</v>
      </c>
      <c r="L4" s="72">
        <f>+L60/D60</f>
        <v>306.8485714285714</v>
      </c>
      <c r="N4" s="70"/>
    </row>
    <row r="5" spans="2:14" ht="16.5" thickTop="1" x14ac:dyDescent="0.25">
      <c r="B5" s="66"/>
      <c r="G5" s="61" t="s">
        <v>55</v>
      </c>
      <c r="K5" s="73"/>
      <c r="L5" s="74"/>
      <c r="N5" s="70"/>
    </row>
    <row r="6" spans="2:14" ht="16.5" thickBot="1" x14ac:dyDescent="0.3">
      <c r="B6" s="75"/>
      <c r="C6" s="76"/>
      <c r="D6" s="76"/>
      <c r="E6" s="76"/>
      <c r="F6" s="76"/>
      <c r="G6" s="76"/>
      <c r="H6" s="77"/>
      <c r="I6" s="76"/>
      <c r="J6" s="77"/>
      <c r="K6" s="76"/>
      <c r="L6" s="76"/>
      <c r="M6" s="76"/>
      <c r="N6" s="78"/>
    </row>
    <row r="7" spans="2:14" ht="8.1" customHeight="1" thickTop="1" x14ac:dyDescent="0.25">
      <c r="B7" s="62"/>
      <c r="C7" s="63"/>
      <c r="D7" s="63"/>
      <c r="E7" s="63"/>
      <c r="F7" s="63"/>
      <c r="G7" s="63"/>
      <c r="H7" s="64"/>
      <c r="I7" s="62"/>
      <c r="J7" s="64"/>
      <c r="K7" s="63"/>
      <c r="L7" s="63"/>
      <c r="M7" s="63"/>
      <c r="N7" s="65"/>
    </row>
    <row r="8" spans="2:14" x14ac:dyDescent="0.25">
      <c r="B8" s="66"/>
      <c r="C8" s="209" t="s">
        <v>56</v>
      </c>
      <c r="D8" s="209"/>
      <c r="E8" s="217" t="s">
        <v>103</v>
      </c>
      <c r="F8" s="217"/>
      <c r="G8" s="217"/>
      <c r="H8" s="218"/>
      <c r="I8" s="79" t="s">
        <v>57</v>
      </c>
      <c r="J8" s="213" t="s">
        <v>119</v>
      </c>
      <c r="K8" s="213"/>
      <c r="L8" s="213"/>
      <c r="M8" s="213"/>
      <c r="N8" s="70"/>
    </row>
    <row r="9" spans="2:14" x14ac:dyDescent="0.25">
      <c r="B9" s="66"/>
      <c r="C9" s="219" t="s">
        <v>58</v>
      </c>
      <c r="D9" s="219"/>
      <c r="E9" s="217">
        <v>45003</v>
      </c>
      <c r="F9" s="217"/>
      <c r="G9" s="217"/>
      <c r="H9" s="218"/>
      <c r="I9" s="79" t="s">
        <v>59</v>
      </c>
      <c r="J9" s="122" t="s">
        <v>120</v>
      </c>
      <c r="K9" s="119" t="s">
        <v>60</v>
      </c>
      <c r="L9" s="211">
        <v>9256284</v>
      </c>
      <c r="M9" s="211"/>
      <c r="N9" s="70"/>
    </row>
    <row r="10" spans="2:14" x14ac:dyDescent="0.25">
      <c r="B10" s="66"/>
      <c r="C10" s="123"/>
      <c r="D10" s="123"/>
      <c r="E10" s="124"/>
      <c r="F10" s="124"/>
      <c r="G10" s="124"/>
      <c r="H10" s="111"/>
      <c r="I10" s="79" t="s">
        <v>84</v>
      </c>
      <c r="J10" s="148">
        <v>46146</v>
      </c>
      <c r="K10" s="119" t="s">
        <v>85</v>
      </c>
      <c r="L10" s="216">
        <v>0.84722222222222221</v>
      </c>
      <c r="M10" s="211"/>
      <c r="N10" s="70"/>
    </row>
    <row r="11" spans="2:14" ht="8.1" customHeight="1" thickBot="1" x14ac:dyDescent="0.3">
      <c r="B11" s="75"/>
      <c r="C11" s="80"/>
      <c r="D11" s="80"/>
      <c r="E11" s="76"/>
      <c r="F11" s="76"/>
      <c r="G11" s="76"/>
      <c r="H11" s="77"/>
      <c r="I11" s="75"/>
      <c r="J11" s="77"/>
      <c r="K11" s="76"/>
      <c r="L11" s="76"/>
      <c r="M11" s="76"/>
      <c r="N11" s="78"/>
    </row>
    <row r="12" spans="2:14" ht="8.1" customHeight="1" thickTop="1" x14ac:dyDescent="0.25">
      <c r="B12" s="66"/>
      <c r="C12" s="81"/>
      <c r="D12" s="81"/>
      <c r="E12" s="67"/>
      <c r="F12" s="67"/>
      <c r="G12" s="67"/>
      <c r="H12" s="71"/>
      <c r="I12" s="67"/>
      <c r="J12" s="71"/>
      <c r="K12" s="67"/>
      <c r="L12" s="67"/>
      <c r="M12" s="67"/>
      <c r="N12" s="70"/>
    </row>
    <row r="13" spans="2:14" ht="8.1" customHeight="1" x14ac:dyDescent="0.25">
      <c r="B13" s="66"/>
      <c r="C13" s="125"/>
      <c r="D13" s="125"/>
      <c r="N13" s="70"/>
    </row>
    <row r="14" spans="2:14" x14ac:dyDescent="0.25">
      <c r="B14" s="66"/>
      <c r="D14" s="119" t="s">
        <v>77</v>
      </c>
      <c r="E14" s="215">
        <v>46147</v>
      </c>
      <c r="F14" s="215"/>
      <c r="H14" s="60"/>
      <c r="I14" s="82"/>
      <c r="J14" s="60"/>
      <c r="K14" s="118" t="s">
        <v>61</v>
      </c>
      <c r="L14" s="118" t="s">
        <v>62</v>
      </c>
      <c r="N14" s="70"/>
    </row>
    <row r="15" spans="2:14" x14ac:dyDescent="0.25">
      <c r="B15" s="66"/>
      <c r="C15" s="209" t="s">
        <v>63</v>
      </c>
      <c r="D15" s="209"/>
      <c r="E15" s="214">
        <v>175</v>
      </c>
      <c r="F15" s="214"/>
      <c r="H15" s="60"/>
      <c r="I15" s="82"/>
      <c r="J15" s="118" t="s">
        <v>64</v>
      </c>
      <c r="K15" s="120">
        <f>+COUNTIF($G$24:$G$60,"VQ")*2</f>
        <v>20</v>
      </c>
      <c r="L15" s="120">
        <f>+SUMIF($G$25:$G$59,"VQ",$L$25:$L$59)</f>
        <v>2751.6000000000004</v>
      </c>
      <c r="N15" s="70"/>
    </row>
    <row r="16" spans="2:14" x14ac:dyDescent="0.25">
      <c r="B16" s="66"/>
      <c r="C16" s="209" t="s">
        <v>65</v>
      </c>
      <c r="D16" s="209"/>
      <c r="E16" s="211">
        <v>35</v>
      </c>
      <c r="F16" s="211"/>
      <c r="H16" s="60"/>
      <c r="I16" s="82"/>
      <c r="J16" s="118" t="s">
        <v>66</v>
      </c>
      <c r="K16" s="120">
        <f>+COUNTIF($G$24:$G$60,"NT")*2</f>
        <v>50</v>
      </c>
      <c r="L16" s="120">
        <f>+SUMIF($G$25:$G$59,"NT",$L$25:$L$59)</f>
        <v>7988.0999999999995</v>
      </c>
      <c r="N16" s="70"/>
    </row>
    <row r="17" spans="2:14" x14ac:dyDescent="0.25">
      <c r="B17" s="66"/>
      <c r="C17" s="209" t="s">
        <v>67</v>
      </c>
      <c r="D17" s="209"/>
      <c r="E17" s="210">
        <f>+I60</f>
        <v>17936</v>
      </c>
      <c r="F17" s="211"/>
      <c r="H17" s="60"/>
      <c r="I17" s="82"/>
      <c r="J17" s="118" t="s">
        <v>68</v>
      </c>
      <c r="K17" s="120">
        <f>+COUNTIF($G$24:$G$60,"NO")*2</f>
        <v>0</v>
      </c>
      <c r="L17" s="120">
        <f>+SUMIF($G$25:$G$59,"NO",$L$25:$L$59)</f>
        <v>0</v>
      </c>
      <c r="N17" s="70"/>
    </row>
    <row r="18" spans="2:14" x14ac:dyDescent="0.25">
      <c r="B18" s="66"/>
      <c r="C18" s="209" t="s">
        <v>69</v>
      </c>
      <c r="D18" s="209"/>
      <c r="E18" s="210">
        <f>+L60</f>
        <v>10739.699999999999</v>
      </c>
      <c r="F18" s="211"/>
      <c r="H18" s="60"/>
      <c r="I18" s="82"/>
      <c r="J18" s="118" t="s">
        <v>70</v>
      </c>
      <c r="K18" s="120">
        <f>+COUNTIF($G$24:$G$60,"TO")*2</f>
        <v>0</v>
      </c>
      <c r="L18" s="120">
        <f>+SUMIF($G$25:$G$59,"TO",$L$25:$L$59)</f>
        <v>0</v>
      </c>
      <c r="N18" s="70"/>
    </row>
    <row r="19" spans="2:14" x14ac:dyDescent="0.25">
      <c r="B19" s="66"/>
      <c r="C19" s="209" t="s">
        <v>71</v>
      </c>
      <c r="D19" s="209"/>
      <c r="E19" s="212">
        <f>+M60</f>
        <v>0.59877899197145401</v>
      </c>
      <c r="F19" s="211"/>
      <c r="G19" s="82"/>
      <c r="H19" s="126"/>
      <c r="I19" s="82"/>
      <c r="J19" s="118" t="s">
        <v>72</v>
      </c>
      <c r="K19" s="120">
        <f>+COUNTIF($G$24:$G$60,"VA")*2</f>
        <v>0</v>
      </c>
      <c r="L19" s="120">
        <f>+SUMIF($G$25:$G$59,"VA",$L$25:$L$59)</f>
        <v>0</v>
      </c>
      <c r="N19" s="70"/>
    </row>
    <row r="20" spans="2:14" x14ac:dyDescent="0.25">
      <c r="B20" s="66"/>
      <c r="C20" s="209" t="s">
        <v>73</v>
      </c>
      <c r="D20" s="209"/>
      <c r="E20" s="213">
        <f>+L60/D60</f>
        <v>306.8485714285714</v>
      </c>
      <c r="F20" s="213"/>
      <c r="G20" s="82"/>
      <c r="H20" s="126"/>
      <c r="I20" s="82"/>
      <c r="J20" s="118" t="s">
        <v>74</v>
      </c>
      <c r="K20" s="120">
        <f>+COUNTIF($G$24:$G$60,"MEJ")*2</f>
        <v>0</v>
      </c>
      <c r="L20" s="120">
        <f>+SUMIF($G$25:$G$59,"MEJ",$L$25:$L$59)</f>
        <v>0</v>
      </c>
      <c r="N20" s="70"/>
    </row>
    <row r="21" spans="2:14" ht="9.9499999999999993" customHeight="1" thickBot="1" x14ac:dyDescent="0.3">
      <c r="B21" s="75"/>
      <c r="C21" s="83"/>
      <c r="D21" s="83"/>
      <c r="E21" s="76"/>
      <c r="F21" s="76"/>
      <c r="G21" s="84"/>
      <c r="H21" s="85"/>
      <c r="I21" s="84"/>
      <c r="J21" s="76"/>
      <c r="K21" s="76"/>
      <c r="L21" s="76"/>
      <c r="M21" s="76"/>
      <c r="N21" s="78"/>
    </row>
    <row r="22" spans="2:14" ht="9.9499999999999993" customHeight="1" thickTop="1" x14ac:dyDescent="0.25">
      <c r="B22" s="66"/>
      <c r="N22" s="70"/>
    </row>
    <row r="23" spans="2:14" s="88" customFormat="1" ht="26.25" customHeight="1" x14ac:dyDescent="0.25">
      <c r="B23" s="86"/>
      <c r="C23" s="194" t="s">
        <v>27</v>
      </c>
      <c r="D23" s="194" t="s">
        <v>28</v>
      </c>
      <c r="E23" s="197" t="s">
        <v>52</v>
      </c>
      <c r="F23" s="199" t="s">
        <v>29</v>
      </c>
      <c r="G23" s="200"/>
      <c r="H23" s="201" t="s">
        <v>30</v>
      </c>
      <c r="I23" s="203" t="s">
        <v>31</v>
      </c>
      <c r="J23" s="203" t="s">
        <v>2</v>
      </c>
      <c r="K23" s="197" t="s">
        <v>3</v>
      </c>
      <c r="L23" s="203" t="s">
        <v>32</v>
      </c>
      <c r="M23" s="207" t="s">
        <v>33</v>
      </c>
      <c r="N23" s="87"/>
    </row>
    <row r="24" spans="2:14" x14ac:dyDescent="0.25">
      <c r="B24" s="66"/>
      <c r="C24" s="195"/>
      <c r="D24" s="196"/>
      <c r="E24" s="198"/>
      <c r="F24" s="173" t="s">
        <v>75</v>
      </c>
      <c r="G24" s="89" t="s">
        <v>76</v>
      </c>
      <c r="H24" s="202"/>
      <c r="I24" s="204"/>
      <c r="J24" s="205"/>
      <c r="K24" s="206"/>
      <c r="L24" s="204"/>
      <c r="M24" s="208"/>
      <c r="N24" s="70"/>
    </row>
    <row r="25" spans="2:14" x14ac:dyDescent="0.25">
      <c r="B25" s="66"/>
      <c r="C25" s="91">
        <v>11</v>
      </c>
      <c r="D25" s="90">
        <v>26</v>
      </c>
      <c r="E25" s="167" t="s">
        <v>107</v>
      </c>
      <c r="F25" s="174" t="s">
        <v>157</v>
      </c>
      <c r="G25" s="170" t="s">
        <v>66</v>
      </c>
      <c r="H25" s="92" t="s">
        <v>146</v>
      </c>
      <c r="I25" s="153">
        <v>495</v>
      </c>
      <c r="J25" s="163">
        <v>147.1</v>
      </c>
      <c r="K25" s="159">
        <v>147.9</v>
      </c>
      <c r="L25" s="156">
        <f t="shared" ref="L25:L59" si="0">+J25+K25</f>
        <v>295</v>
      </c>
      <c r="M25" s="93">
        <f t="shared" ref="M25:M60" si="1">+L25/I25</f>
        <v>0.59595959595959591</v>
      </c>
      <c r="N25" s="70"/>
    </row>
    <row r="26" spans="2:14" x14ac:dyDescent="0.25">
      <c r="B26" s="66"/>
      <c r="C26" s="95">
        <v>12</v>
      </c>
      <c r="D26" s="94">
        <v>23</v>
      </c>
      <c r="E26" s="168" t="s">
        <v>108</v>
      </c>
      <c r="F26" s="175" t="s">
        <v>157</v>
      </c>
      <c r="G26" s="171" t="s">
        <v>66</v>
      </c>
      <c r="H26" s="96" t="s">
        <v>143</v>
      </c>
      <c r="I26" s="154">
        <v>526</v>
      </c>
      <c r="J26" s="164">
        <v>158.19999999999999</v>
      </c>
      <c r="K26" s="160">
        <v>158</v>
      </c>
      <c r="L26" s="157">
        <f t="shared" si="0"/>
        <v>316.2</v>
      </c>
      <c r="M26" s="97">
        <f t="shared" si="1"/>
        <v>0.60114068441064639</v>
      </c>
      <c r="N26" s="70"/>
    </row>
    <row r="27" spans="2:14" x14ac:dyDescent="0.25">
      <c r="B27" s="66"/>
      <c r="C27" s="94">
        <v>13</v>
      </c>
      <c r="D27" s="94">
        <v>21</v>
      </c>
      <c r="E27" s="169" t="s">
        <v>108</v>
      </c>
      <c r="F27" s="175" t="s">
        <v>157</v>
      </c>
      <c r="G27" s="171" t="s">
        <v>66</v>
      </c>
      <c r="H27" s="96" t="s">
        <v>141</v>
      </c>
      <c r="I27" s="154">
        <v>516</v>
      </c>
      <c r="J27" s="165">
        <v>155.9</v>
      </c>
      <c r="K27" s="161">
        <v>154.19999999999999</v>
      </c>
      <c r="L27" s="157">
        <f t="shared" si="0"/>
        <v>310.10000000000002</v>
      </c>
      <c r="M27" s="97">
        <f t="shared" si="1"/>
        <v>0.60096899224806211</v>
      </c>
      <c r="N27" s="70"/>
    </row>
    <row r="28" spans="2:14" x14ac:dyDescent="0.25">
      <c r="B28" s="66"/>
      <c r="C28" s="95">
        <v>14</v>
      </c>
      <c r="D28" s="94">
        <v>31</v>
      </c>
      <c r="E28" s="168" t="s">
        <v>106</v>
      </c>
      <c r="F28" s="175" t="s">
        <v>157</v>
      </c>
      <c r="G28" s="171" t="s">
        <v>66</v>
      </c>
      <c r="H28" s="96" t="s">
        <v>150</v>
      </c>
      <c r="I28" s="154">
        <v>546</v>
      </c>
      <c r="J28" s="165">
        <v>162.19999999999999</v>
      </c>
      <c r="K28" s="161">
        <v>163.80000000000001</v>
      </c>
      <c r="L28" s="157">
        <f t="shared" si="0"/>
        <v>326</v>
      </c>
      <c r="M28" s="97">
        <f t="shared" si="1"/>
        <v>0.59706959706959706</v>
      </c>
      <c r="N28" s="70"/>
    </row>
    <row r="29" spans="2:14" x14ac:dyDescent="0.25">
      <c r="B29" s="66"/>
      <c r="C29" s="94">
        <v>15</v>
      </c>
      <c r="D29" s="94">
        <v>24</v>
      </c>
      <c r="E29" s="169" t="s">
        <v>106</v>
      </c>
      <c r="F29" s="175" t="s">
        <v>157</v>
      </c>
      <c r="G29" s="171" t="s">
        <v>66</v>
      </c>
      <c r="H29" s="96" t="s">
        <v>144</v>
      </c>
      <c r="I29" s="154">
        <v>489</v>
      </c>
      <c r="J29" s="165">
        <v>143.5</v>
      </c>
      <c r="K29" s="161">
        <v>143.19999999999999</v>
      </c>
      <c r="L29" s="157">
        <f t="shared" si="0"/>
        <v>286.7</v>
      </c>
      <c r="M29" s="97">
        <f t="shared" si="1"/>
        <v>0.58629856850715745</v>
      </c>
      <c r="N29" s="70"/>
    </row>
    <row r="30" spans="2:14" x14ac:dyDescent="0.25">
      <c r="B30" s="66"/>
      <c r="C30" s="95">
        <v>16</v>
      </c>
      <c r="D30" s="94">
        <v>33</v>
      </c>
      <c r="E30" s="168" t="s">
        <v>106</v>
      </c>
      <c r="F30" s="175" t="s">
        <v>157</v>
      </c>
      <c r="G30" s="171" t="s">
        <v>66</v>
      </c>
      <c r="H30" s="96" t="s">
        <v>128</v>
      </c>
      <c r="I30" s="154">
        <v>542</v>
      </c>
      <c r="J30" s="165">
        <v>161.4</v>
      </c>
      <c r="K30" s="161">
        <v>159.1</v>
      </c>
      <c r="L30" s="157">
        <f t="shared" si="0"/>
        <v>320.5</v>
      </c>
      <c r="M30" s="97">
        <f t="shared" si="1"/>
        <v>0.59132841328413288</v>
      </c>
      <c r="N30" s="70"/>
    </row>
    <row r="31" spans="2:14" x14ac:dyDescent="0.25">
      <c r="B31" s="66"/>
      <c r="C31" s="95">
        <v>17</v>
      </c>
      <c r="D31" s="94">
        <v>32</v>
      </c>
      <c r="E31" s="168" t="s">
        <v>106</v>
      </c>
      <c r="F31" s="175" t="s">
        <v>157</v>
      </c>
      <c r="G31" s="171" t="s">
        <v>66</v>
      </c>
      <c r="H31" s="96" t="s">
        <v>151</v>
      </c>
      <c r="I31" s="154">
        <v>538</v>
      </c>
      <c r="J31" s="165">
        <v>150.19999999999999</v>
      </c>
      <c r="K31" s="161">
        <v>151.80000000000001</v>
      </c>
      <c r="L31" s="157">
        <f t="shared" si="0"/>
        <v>302</v>
      </c>
      <c r="M31" s="97">
        <f t="shared" si="1"/>
        <v>0.56133828996282531</v>
      </c>
      <c r="N31" s="70"/>
    </row>
    <row r="32" spans="2:14" x14ac:dyDescent="0.25">
      <c r="B32" s="66"/>
      <c r="C32" s="95">
        <v>18</v>
      </c>
      <c r="D32" s="94">
        <v>29</v>
      </c>
      <c r="E32" s="168" t="s">
        <v>107</v>
      </c>
      <c r="F32" s="175" t="s">
        <v>157</v>
      </c>
      <c r="G32" s="171" t="s">
        <v>66</v>
      </c>
      <c r="H32" s="96" t="s">
        <v>148</v>
      </c>
      <c r="I32" s="154">
        <v>516</v>
      </c>
      <c r="J32" s="165">
        <v>154.80000000000001</v>
      </c>
      <c r="K32" s="161">
        <v>152.4</v>
      </c>
      <c r="L32" s="157">
        <f t="shared" si="0"/>
        <v>307.20000000000005</v>
      </c>
      <c r="M32" s="97">
        <f t="shared" si="1"/>
        <v>0.59534883720930243</v>
      </c>
      <c r="N32" s="70"/>
    </row>
    <row r="33" spans="2:14" x14ac:dyDescent="0.25">
      <c r="B33" s="66"/>
      <c r="C33" s="94">
        <v>19</v>
      </c>
      <c r="D33" s="94">
        <v>19</v>
      </c>
      <c r="E33" s="169" t="s">
        <v>108</v>
      </c>
      <c r="F33" s="175" t="s">
        <v>157</v>
      </c>
      <c r="G33" s="172" t="s">
        <v>66</v>
      </c>
      <c r="H33" s="99" t="s">
        <v>139</v>
      </c>
      <c r="I33" s="155">
        <v>612</v>
      </c>
      <c r="J33" s="165">
        <v>185.8</v>
      </c>
      <c r="K33" s="161">
        <v>185.9</v>
      </c>
      <c r="L33" s="157">
        <f t="shared" si="0"/>
        <v>371.70000000000005</v>
      </c>
      <c r="M33" s="97">
        <f t="shared" si="1"/>
        <v>0.60735294117647065</v>
      </c>
      <c r="N33" s="70"/>
    </row>
    <row r="34" spans="2:14" x14ac:dyDescent="0.25">
      <c r="B34" s="66"/>
      <c r="C34" s="95">
        <v>20</v>
      </c>
      <c r="D34" s="94">
        <v>25</v>
      </c>
      <c r="E34" s="168" t="s">
        <v>106</v>
      </c>
      <c r="F34" s="175" t="s">
        <v>158</v>
      </c>
      <c r="G34" s="171" t="s">
        <v>64</v>
      </c>
      <c r="H34" s="96" t="s">
        <v>145</v>
      </c>
      <c r="I34" s="154">
        <v>478</v>
      </c>
      <c r="J34" s="165">
        <v>144.4</v>
      </c>
      <c r="K34" s="161">
        <v>142.69999999999999</v>
      </c>
      <c r="L34" s="157">
        <f t="shared" si="0"/>
        <v>287.10000000000002</v>
      </c>
      <c r="M34" s="97">
        <f t="shared" si="1"/>
        <v>0.60062761506276152</v>
      </c>
      <c r="N34" s="70"/>
    </row>
    <row r="35" spans="2:14" x14ac:dyDescent="0.25">
      <c r="B35" s="66"/>
      <c r="C35" s="94">
        <v>21</v>
      </c>
      <c r="D35" s="94">
        <v>20</v>
      </c>
      <c r="E35" s="169" t="s">
        <v>106</v>
      </c>
      <c r="F35" s="175" t="s">
        <v>158</v>
      </c>
      <c r="G35" s="171" t="s">
        <v>64</v>
      </c>
      <c r="H35" s="96" t="s">
        <v>140</v>
      </c>
      <c r="I35" s="154">
        <v>468</v>
      </c>
      <c r="J35" s="165">
        <v>138.1</v>
      </c>
      <c r="K35" s="161">
        <v>136.6</v>
      </c>
      <c r="L35" s="157">
        <f t="shared" si="0"/>
        <v>274.7</v>
      </c>
      <c r="M35" s="97">
        <f t="shared" si="1"/>
        <v>0.58696581196581199</v>
      </c>
      <c r="N35" s="70"/>
    </row>
    <row r="36" spans="2:14" x14ac:dyDescent="0.25">
      <c r="B36" s="66"/>
      <c r="C36" s="95">
        <v>22</v>
      </c>
      <c r="D36" s="94">
        <v>28</v>
      </c>
      <c r="E36" s="168" t="s">
        <v>108</v>
      </c>
      <c r="F36" s="175" t="s">
        <v>157</v>
      </c>
      <c r="G36" s="171" t="s">
        <v>66</v>
      </c>
      <c r="H36" s="96" t="s">
        <v>147</v>
      </c>
      <c r="I36" s="154">
        <v>540</v>
      </c>
      <c r="J36" s="165">
        <v>161.9</v>
      </c>
      <c r="K36" s="161">
        <v>161.4</v>
      </c>
      <c r="L36" s="157">
        <f t="shared" si="0"/>
        <v>323.3</v>
      </c>
      <c r="M36" s="97">
        <f t="shared" si="1"/>
        <v>0.59870370370370374</v>
      </c>
      <c r="N36" s="70"/>
    </row>
    <row r="37" spans="2:14" x14ac:dyDescent="0.25">
      <c r="B37" s="66"/>
      <c r="C37" s="95">
        <v>23</v>
      </c>
      <c r="D37" s="94">
        <v>34</v>
      </c>
      <c r="E37" s="168" t="s">
        <v>107</v>
      </c>
      <c r="F37" s="175" t="s">
        <v>157</v>
      </c>
      <c r="G37" s="171" t="s">
        <v>66</v>
      </c>
      <c r="H37" s="96" t="s">
        <v>152</v>
      </c>
      <c r="I37" s="154">
        <v>544</v>
      </c>
      <c r="J37" s="165">
        <v>159.30000000000001</v>
      </c>
      <c r="K37" s="161">
        <v>160.80000000000001</v>
      </c>
      <c r="L37" s="157">
        <f t="shared" si="0"/>
        <v>320.10000000000002</v>
      </c>
      <c r="M37" s="97">
        <f t="shared" si="1"/>
        <v>0.5884191176470589</v>
      </c>
      <c r="N37" s="70"/>
    </row>
    <row r="38" spans="2:14" x14ac:dyDescent="0.25">
      <c r="B38" s="66"/>
      <c r="C38" s="95">
        <v>24</v>
      </c>
      <c r="D38" s="94">
        <v>35</v>
      </c>
      <c r="E38" s="168" t="s">
        <v>107</v>
      </c>
      <c r="F38" s="175" t="s">
        <v>158</v>
      </c>
      <c r="G38" s="171" t="s">
        <v>64</v>
      </c>
      <c r="H38" s="96" t="s">
        <v>154</v>
      </c>
      <c r="I38" s="154">
        <v>460</v>
      </c>
      <c r="J38" s="165">
        <v>132.80000000000001</v>
      </c>
      <c r="K38" s="161">
        <v>133.1</v>
      </c>
      <c r="L38" s="157">
        <f t="shared" si="0"/>
        <v>265.89999999999998</v>
      </c>
      <c r="M38" s="97">
        <f t="shared" si="1"/>
        <v>0.57804347826086955</v>
      </c>
      <c r="N38" s="70"/>
    </row>
    <row r="39" spans="2:14" x14ac:dyDescent="0.25">
      <c r="B39" s="66"/>
      <c r="C39" s="94">
        <v>25</v>
      </c>
      <c r="D39" s="94">
        <v>22</v>
      </c>
      <c r="E39" s="169" t="s">
        <v>107</v>
      </c>
      <c r="F39" s="175" t="s">
        <v>157</v>
      </c>
      <c r="G39" s="171" t="s">
        <v>66</v>
      </c>
      <c r="H39" s="96" t="s">
        <v>142</v>
      </c>
      <c r="I39" s="154">
        <v>522</v>
      </c>
      <c r="J39" s="165">
        <v>157.6</v>
      </c>
      <c r="K39" s="161">
        <v>157.19999999999999</v>
      </c>
      <c r="L39" s="157">
        <f t="shared" si="0"/>
        <v>314.79999999999995</v>
      </c>
      <c r="M39" s="98">
        <f t="shared" si="1"/>
        <v>0.60306513409961682</v>
      </c>
      <c r="N39" s="70"/>
    </row>
    <row r="40" spans="2:14" x14ac:dyDescent="0.25">
      <c r="B40" s="66"/>
      <c r="C40" s="95">
        <v>26</v>
      </c>
      <c r="D40" s="94">
        <v>30</v>
      </c>
      <c r="E40" s="168" t="s">
        <v>108</v>
      </c>
      <c r="F40" s="175" t="s">
        <v>158</v>
      </c>
      <c r="G40" s="171" t="s">
        <v>64</v>
      </c>
      <c r="H40" s="96" t="s">
        <v>149</v>
      </c>
      <c r="I40" s="154">
        <v>454</v>
      </c>
      <c r="J40" s="165">
        <v>130.80000000000001</v>
      </c>
      <c r="K40" s="161">
        <v>130.4</v>
      </c>
      <c r="L40" s="157">
        <f t="shared" si="0"/>
        <v>261.20000000000005</v>
      </c>
      <c r="M40" s="97">
        <f t="shared" si="1"/>
        <v>0.575330396475771</v>
      </c>
      <c r="N40" s="70"/>
    </row>
    <row r="41" spans="2:14" x14ac:dyDescent="0.25">
      <c r="B41" s="66"/>
      <c r="C41" s="95">
        <v>27</v>
      </c>
      <c r="D41" s="94">
        <v>27</v>
      </c>
      <c r="E41" s="168" t="s">
        <v>106</v>
      </c>
      <c r="F41" s="175" t="s">
        <v>157</v>
      </c>
      <c r="G41" s="171" t="s">
        <v>66</v>
      </c>
      <c r="H41" s="96" t="s">
        <v>153</v>
      </c>
      <c r="I41" s="154">
        <v>628</v>
      </c>
      <c r="J41" s="165">
        <v>201.7</v>
      </c>
      <c r="K41" s="161">
        <v>198.5</v>
      </c>
      <c r="L41" s="157">
        <f t="shared" si="0"/>
        <v>400.2</v>
      </c>
      <c r="M41" s="97">
        <f t="shared" si="1"/>
        <v>0.63726114649681531</v>
      </c>
      <c r="N41" s="70"/>
    </row>
    <row r="42" spans="2:14" x14ac:dyDescent="0.25">
      <c r="B42" s="66"/>
      <c r="C42" s="94">
        <v>28</v>
      </c>
      <c r="D42" s="94">
        <v>7</v>
      </c>
      <c r="E42" s="169" t="s">
        <v>107</v>
      </c>
      <c r="F42" s="175" t="s">
        <v>158</v>
      </c>
      <c r="G42" s="171" t="s">
        <v>64</v>
      </c>
      <c r="H42" s="96" t="s">
        <v>127</v>
      </c>
      <c r="I42" s="154">
        <v>448</v>
      </c>
      <c r="J42" s="165">
        <v>129.80000000000001</v>
      </c>
      <c r="K42" s="161">
        <v>129.30000000000001</v>
      </c>
      <c r="L42" s="157">
        <f t="shared" si="0"/>
        <v>259.10000000000002</v>
      </c>
      <c r="M42" s="97">
        <f t="shared" si="1"/>
        <v>0.57834821428571437</v>
      </c>
      <c r="N42" s="70"/>
    </row>
    <row r="43" spans="2:14" x14ac:dyDescent="0.25">
      <c r="B43" s="66"/>
      <c r="C43" s="94">
        <v>29</v>
      </c>
      <c r="D43" s="94">
        <v>4</v>
      </c>
      <c r="E43" s="169" t="s">
        <v>108</v>
      </c>
      <c r="F43" s="175" t="s">
        <v>158</v>
      </c>
      <c r="G43" s="171" t="s">
        <v>66</v>
      </c>
      <c r="H43" s="96" t="s">
        <v>124</v>
      </c>
      <c r="I43" s="154">
        <v>460</v>
      </c>
      <c r="J43" s="165">
        <v>136.80000000000001</v>
      </c>
      <c r="K43" s="161">
        <v>134.9</v>
      </c>
      <c r="L43" s="157">
        <f t="shared" si="0"/>
        <v>271.70000000000005</v>
      </c>
      <c r="M43" s="97">
        <f t="shared" si="1"/>
        <v>0.59065217391304359</v>
      </c>
      <c r="N43" s="70"/>
    </row>
    <row r="44" spans="2:14" x14ac:dyDescent="0.25">
      <c r="B44" s="66"/>
      <c r="C44" s="94">
        <v>30</v>
      </c>
      <c r="D44" s="94">
        <v>9</v>
      </c>
      <c r="E44" s="169" t="s">
        <v>107</v>
      </c>
      <c r="F44" s="175" t="s">
        <v>158</v>
      </c>
      <c r="G44" s="171" t="s">
        <v>64</v>
      </c>
      <c r="H44" s="96" t="s">
        <v>129</v>
      </c>
      <c r="I44" s="154">
        <v>463</v>
      </c>
      <c r="J44" s="165">
        <v>144.69999999999999</v>
      </c>
      <c r="K44" s="161">
        <v>145.4</v>
      </c>
      <c r="L44" s="157">
        <f t="shared" si="0"/>
        <v>290.10000000000002</v>
      </c>
      <c r="M44" s="97">
        <f t="shared" si="1"/>
        <v>0.62656587473002168</v>
      </c>
      <c r="N44" s="70"/>
    </row>
    <row r="45" spans="2:14" x14ac:dyDescent="0.25">
      <c r="B45" s="66"/>
      <c r="C45" s="94">
        <v>31</v>
      </c>
      <c r="D45" s="94">
        <v>12</v>
      </c>
      <c r="E45" s="169" t="s">
        <v>108</v>
      </c>
      <c r="F45" s="175" t="s">
        <v>157</v>
      </c>
      <c r="G45" s="171" t="s">
        <v>66</v>
      </c>
      <c r="H45" s="96" t="s">
        <v>132</v>
      </c>
      <c r="I45" s="154">
        <v>606</v>
      </c>
      <c r="J45" s="165">
        <v>196.7</v>
      </c>
      <c r="K45" s="161">
        <v>193.4</v>
      </c>
      <c r="L45" s="157">
        <f t="shared" si="0"/>
        <v>390.1</v>
      </c>
      <c r="M45" s="97">
        <f t="shared" si="1"/>
        <v>0.64372937293729382</v>
      </c>
      <c r="N45" s="70"/>
    </row>
    <row r="46" spans="2:14" x14ac:dyDescent="0.25">
      <c r="B46" s="66"/>
      <c r="C46" s="94">
        <v>32</v>
      </c>
      <c r="D46" s="94">
        <v>6</v>
      </c>
      <c r="E46" s="169" t="s">
        <v>108</v>
      </c>
      <c r="F46" s="175" t="s">
        <v>157</v>
      </c>
      <c r="G46" s="171" t="s">
        <v>66</v>
      </c>
      <c r="H46" s="96" t="s">
        <v>126</v>
      </c>
      <c r="I46" s="154">
        <v>524</v>
      </c>
      <c r="J46" s="165">
        <v>156.1</v>
      </c>
      <c r="K46" s="161">
        <v>154.6</v>
      </c>
      <c r="L46" s="157">
        <f t="shared" si="0"/>
        <v>310.7</v>
      </c>
      <c r="M46" s="97">
        <f t="shared" si="1"/>
        <v>0.59293893129770991</v>
      </c>
      <c r="N46" s="70"/>
    </row>
    <row r="47" spans="2:14" x14ac:dyDescent="0.25">
      <c r="B47" s="66"/>
      <c r="C47" s="95">
        <v>33</v>
      </c>
      <c r="D47" s="94">
        <v>11</v>
      </c>
      <c r="E47" s="168" t="s">
        <v>108</v>
      </c>
      <c r="F47" s="175" t="s">
        <v>157</v>
      </c>
      <c r="G47" s="171" t="s">
        <v>66</v>
      </c>
      <c r="H47" s="96" t="s">
        <v>131</v>
      </c>
      <c r="I47" s="154">
        <v>497</v>
      </c>
      <c r="J47" s="165">
        <v>150.5</v>
      </c>
      <c r="K47" s="161">
        <v>151.69999999999999</v>
      </c>
      <c r="L47" s="157">
        <f t="shared" si="0"/>
        <v>302.2</v>
      </c>
      <c r="M47" s="97">
        <f t="shared" si="1"/>
        <v>0.60804828973843061</v>
      </c>
      <c r="N47" s="70"/>
    </row>
    <row r="48" spans="2:14" x14ac:dyDescent="0.25">
      <c r="B48" s="66"/>
      <c r="C48" s="94">
        <v>34</v>
      </c>
      <c r="D48" s="94">
        <v>15</v>
      </c>
      <c r="E48" s="169" t="s">
        <v>108</v>
      </c>
      <c r="F48" s="175" t="s">
        <v>157</v>
      </c>
      <c r="G48" s="171" t="s">
        <v>66</v>
      </c>
      <c r="H48" s="96" t="s">
        <v>135</v>
      </c>
      <c r="I48" s="154">
        <v>498</v>
      </c>
      <c r="J48" s="165">
        <v>144.19999999999999</v>
      </c>
      <c r="K48" s="161">
        <v>143.80000000000001</v>
      </c>
      <c r="L48" s="157">
        <f t="shared" si="0"/>
        <v>288</v>
      </c>
      <c r="M48" s="97">
        <f t="shared" si="1"/>
        <v>0.57831325301204817</v>
      </c>
      <c r="N48" s="70"/>
    </row>
    <row r="49" spans="2:14" x14ac:dyDescent="0.25">
      <c r="B49" s="66"/>
      <c r="C49" s="94">
        <v>35</v>
      </c>
      <c r="D49" s="94">
        <v>13</v>
      </c>
      <c r="E49" s="169" t="s">
        <v>108</v>
      </c>
      <c r="F49" s="175" t="s">
        <v>157</v>
      </c>
      <c r="G49" s="171" t="s">
        <v>64</v>
      </c>
      <c r="H49" s="96" t="s">
        <v>133</v>
      </c>
      <c r="I49" s="154">
        <v>495</v>
      </c>
      <c r="J49" s="165">
        <v>152.9</v>
      </c>
      <c r="K49" s="161">
        <v>153.1</v>
      </c>
      <c r="L49" s="157">
        <f t="shared" si="0"/>
        <v>306</v>
      </c>
      <c r="M49" s="97">
        <f t="shared" si="1"/>
        <v>0.61818181818181817</v>
      </c>
      <c r="N49" s="70"/>
    </row>
    <row r="50" spans="2:14" x14ac:dyDescent="0.25">
      <c r="B50" s="66"/>
      <c r="C50" s="94">
        <v>36</v>
      </c>
      <c r="D50" s="94">
        <v>8</v>
      </c>
      <c r="E50" s="169" t="s">
        <v>108</v>
      </c>
      <c r="F50" s="175" t="s">
        <v>157</v>
      </c>
      <c r="G50" s="171" t="s">
        <v>66</v>
      </c>
      <c r="H50" s="96" t="s">
        <v>128</v>
      </c>
      <c r="I50" s="154">
        <v>488</v>
      </c>
      <c r="J50" s="165">
        <v>148.19999999999999</v>
      </c>
      <c r="K50" s="161">
        <v>148.1</v>
      </c>
      <c r="L50" s="157">
        <f t="shared" si="0"/>
        <v>296.29999999999995</v>
      </c>
      <c r="M50" s="97">
        <f t="shared" si="1"/>
        <v>0.60717213114754087</v>
      </c>
      <c r="N50" s="70"/>
    </row>
    <row r="51" spans="2:14" x14ac:dyDescent="0.25">
      <c r="B51" s="66"/>
      <c r="C51" s="94">
        <v>37</v>
      </c>
      <c r="D51" s="94">
        <v>2</v>
      </c>
      <c r="E51" s="169" t="s">
        <v>108</v>
      </c>
      <c r="F51" s="175" t="s">
        <v>158</v>
      </c>
      <c r="G51" s="171" t="s">
        <v>64</v>
      </c>
      <c r="H51" s="96" t="s">
        <v>122</v>
      </c>
      <c r="I51" s="154">
        <v>454</v>
      </c>
      <c r="J51" s="165">
        <v>133.9</v>
      </c>
      <c r="K51" s="161">
        <v>131.9</v>
      </c>
      <c r="L51" s="157">
        <f t="shared" si="0"/>
        <v>265.8</v>
      </c>
      <c r="M51" s="97">
        <f t="shared" si="1"/>
        <v>0.58546255506607936</v>
      </c>
      <c r="N51" s="70"/>
    </row>
    <row r="52" spans="2:14" x14ac:dyDescent="0.25">
      <c r="B52" s="66"/>
      <c r="C52" s="94">
        <v>38</v>
      </c>
      <c r="D52" s="94">
        <v>1</v>
      </c>
      <c r="E52" s="169" t="s">
        <v>106</v>
      </c>
      <c r="F52" s="175" t="s">
        <v>157</v>
      </c>
      <c r="G52" s="171" t="s">
        <v>66</v>
      </c>
      <c r="H52" s="96" t="s">
        <v>121</v>
      </c>
      <c r="I52" s="154">
        <v>518</v>
      </c>
      <c r="J52" s="165">
        <v>145.19999999999999</v>
      </c>
      <c r="K52" s="161">
        <v>144.69999999999999</v>
      </c>
      <c r="L52" s="157">
        <f t="shared" si="0"/>
        <v>289.89999999999998</v>
      </c>
      <c r="M52" s="97">
        <f t="shared" si="1"/>
        <v>0.55965250965250957</v>
      </c>
      <c r="N52" s="70"/>
    </row>
    <row r="53" spans="2:14" x14ac:dyDescent="0.25">
      <c r="B53" s="66"/>
      <c r="C53" s="94">
        <v>39</v>
      </c>
      <c r="D53" s="94">
        <v>18</v>
      </c>
      <c r="E53" s="169" t="s">
        <v>106</v>
      </c>
      <c r="F53" s="175" t="s">
        <v>157</v>
      </c>
      <c r="G53" s="171" t="s">
        <v>66</v>
      </c>
      <c r="H53" s="96" t="s">
        <v>138</v>
      </c>
      <c r="I53" s="154">
        <v>592</v>
      </c>
      <c r="J53" s="165">
        <v>182.3</v>
      </c>
      <c r="K53" s="161">
        <v>179.2</v>
      </c>
      <c r="L53" s="157">
        <f t="shared" si="0"/>
        <v>361.5</v>
      </c>
      <c r="M53" s="97">
        <f t="shared" si="1"/>
        <v>0.61064189189189189</v>
      </c>
      <c r="N53" s="70"/>
    </row>
    <row r="54" spans="2:14" x14ac:dyDescent="0.25">
      <c r="B54" s="66"/>
      <c r="C54" s="95">
        <v>40</v>
      </c>
      <c r="D54" s="94">
        <v>10</v>
      </c>
      <c r="E54" s="168" t="s">
        <v>106</v>
      </c>
      <c r="F54" s="175" t="s">
        <v>157</v>
      </c>
      <c r="G54" s="171" t="s">
        <v>66</v>
      </c>
      <c r="H54" s="96" t="s">
        <v>130</v>
      </c>
      <c r="I54" s="154">
        <v>520</v>
      </c>
      <c r="J54" s="165">
        <v>157.5</v>
      </c>
      <c r="K54" s="161">
        <v>157</v>
      </c>
      <c r="L54" s="157">
        <f t="shared" si="0"/>
        <v>314.5</v>
      </c>
      <c r="M54" s="97">
        <f t="shared" si="1"/>
        <v>0.60480769230769227</v>
      </c>
      <c r="N54" s="70"/>
    </row>
    <row r="55" spans="2:14" x14ac:dyDescent="0.25">
      <c r="B55" s="66"/>
      <c r="C55" s="94">
        <v>41</v>
      </c>
      <c r="D55" s="94">
        <v>3</v>
      </c>
      <c r="E55" s="169" t="s">
        <v>107</v>
      </c>
      <c r="F55" s="175" t="s">
        <v>158</v>
      </c>
      <c r="G55" s="171" t="s">
        <v>64</v>
      </c>
      <c r="H55" s="96" t="s">
        <v>123</v>
      </c>
      <c r="I55" s="154">
        <v>458</v>
      </c>
      <c r="J55" s="164">
        <v>133.4</v>
      </c>
      <c r="K55" s="160">
        <v>133</v>
      </c>
      <c r="L55" s="157">
        <f t="shared" si="0"/>
        <v>266.39999999999998</v>
      </c>
      <c r="M55" s="97">
        <f t="shared" si="1"/>
        <v>0.58165938864628819</v>
      </c>
      <c r="N55" s="70"/>
    </row>
    <row r="56" spans="2:14" x14ac:dyDescent="0.25">
      <c r="B56" s="66"/>
      <c r="C56" s="94">
        <v>42</v>
      </c>
      <c r="D56" s="94">
        <v>16</v>
      </c>
      <c r="E56" s="169" t="s">
        <v>107</v>
      </c>
      <c r="F56" s="175" t="s">
        <v>158</v>
      </c>
      <c r="G56" s="171" t="s">
        <v>64</v>
      </c>
      <c r="H56" s="96" t="s">
        <v>136</v>
      </c>
      <c r="I56" s="154">
        <v>456</v>
      </c>
      <c r="J56" s="164">
        <v>136.69999999999999</v>
      </c>
      <c r="K56" s="160">
        <v>138.6</v>
      </c>
      <c r="L56" s="157">
        <f t="shared" si="0"/>
        <v>275.29999999999995</v>
      </c>
      <c r="M56" s="97">
        <f t="shared" si="1"/>
        <v>0.6037280701754385</v>
      </c>
      <c r="N56" s="70"/>
    </row>
    <row r="57" spans="2:14" x14ac:dyDescent="0.25">
      <c r="B57" s="66"/>
      <c r="C57" s="94">
        <v>43</v>
      </c>
      <c r="D57" s="94">
        <v>17</v>
      </c>
      <c r="E57" s="169" t="s">
        <v>106</v>
      </c>
      <c r="F57" s="175" t="s">
        <v>157</v>
      </c>
      <c r="G57" s="171" t="s">
        <v>66</v>
      </c>
      <c r="H57" s="96" t="s">
        <v>137</v>
      </c>
      <c r="I57" s="154">
        <v>484</v>
      </c>
      <c r="J57" s="165">
        <v>144.80000000000001</v>
      </c>
      <c r="K57" s="161">
        <v>144.30000000000001</v>
      </c>
      <c r="L57" s="157">
        <f t="shared" si="0"/>
        <v>289.10000000000002</v>
      </c>
      <c r="M57" s="97">
        <f t="shared" si="1"/>
        <v>0.59731404958677692</v>
      </c>
      <c r="N57" s="70"/>
    </row>
    <row r="58" spans="2:14" x14ac:dyDescent="0.25">
      <c r="B58" s="66"/>
      <c r="C58" s="95">
        <v>44</v>
      </c>
      <c r="D58" s="94">
        <v>14</v>
      </c>
      <c r="E58" s="168" t="s">
        <v>108</v>
      </c>
      <c r="F58" s="175" t="s">
        <v>157</v>
      </c>
      <c r="G58" s="171" t="s">
        <v>66</v>
      </c>
      <c r="H58" s="96" t="s">
        <v>134</v>
      </c>
      <c r="I58" s="154">
        <v>610</v>
      </c>
      <c r="J58" s="165">
        <v>192.6</v>
      </c>
      <c r="K58" s="161">
        <v>192</v>
      </c>
      <c r="L58" s="157">
        <f t="shared" si="0"/>
        <v>384.6</v>
      </c>
      <c r="M58" s="97">
        <f t="shared" si="1"/>
        <v>0.63049180327868859</v>
      </c>
      <c r="N58" s="70"/>
    </row>
    <row r="59" spans="2:14" x14ac:dyDescent="0.25">
      <c r="B59" s="66"/>
      <c r="C59" s="94">
        <v>45</v>
      </c>
      <c r="D59" s="94">
        <v>5</v>
      </c>
      <c r="E59" s="169" t="s">
        <v>108</v>
      </c>
      <c r="F59" s="176" t="s">
        <v>157</v>
      </c>
      <c r="G59" s="171" t="s">
        <v>66</v>
      </c>
      <c r="H59" s="96" t="s">
        <v>125</v>
      </c>
      <c r="I59" s="154">
        <v>491</v>
      </c>
      <c r="J59" s="166">
        <v>147.1</v>
      </c>
      <c r="K59" s="162">
        <v>148.6</v>
      </c>
      <c r="L59" s="157">
        <f t="shared" si="0"/>
        <v>295.7</v>
      </c>
      <c r="M59" s="97">
        <f t="shared" si="1"/>
        <v>0.60224032586558041</v>
      </c>
      <c r="N59" s="70"/>
    </row>
    <row r="60" spans="2:14" x14ac:dyDescent="0.25">
      <c r="B60" s="66"/>
      <c r="C60" s="121"/>
      <c r="D60" s="121">
        <f>+COUNT($D$24:$D$59)</f>
        <v>35</v>
      </c>
      <c r="E60" s="121"/>
      <c r="F60" s="190"/>
      <c r="G60" s="191"/>
      <c r="H60" s="101"/>
      <c r="I60" s="102">
        <f>SUM($I$24:$I$59)</f>
        <v>17936</v>
      </c>
      <c r="J60" s="100">
        <f>SUM($J$24:$J$59)</f>
        <v>5379.0999999999995</v>
      </c>
      <c r="K60" s="158">
        <f>SUM($K$24:$K$59)</f>
        <v>5360.6</v>
      </c>
      <c r="L60" s="102">
        <f>SUM($L$24:$L$59)</f>
        <v>10739.699999999999</v>
      </c>
      <c r="M60" s="103">
        <f t="shared" si="1"/>
        <v>0.59877899197145401</v>
      </c>
      <c r="N60" s="70"/>
    </row>
    <row r="61" spans="2:14" ht="16.5" thickBot="1" x14ac:dyDescent="0.3">
      <c r="B61" s="75"/>
      <c r="C61" s="76"/>
      <c r="D61" s="76"/>
      <c r="E61" s="76"/>
      <c r="F61" s="76"/>
      <c r="G61" s="76"/>
      <c r="H61" s="77"/>
      <c r="I61" s="76"/>
      <c r="J61" s="77"/>
      <c r="K61" s="76"/>
      <c r="L61" s="76"/>
      <c r="M61" s="76"/>
      <c r="N61" s="78"/>
    </row>
    <row r="62" spans="2:14" ht="17.25" thickTop="1" thickBot="1" x14ac:dyDescent="0.3">
      <c r="B62" s="63"/>
      <c r="C62" s="63"/>
      <c r="D62" s="63"/>
      <c r="E62" s="63"/>
      <c r="F62" s="63"/>
      <c r="G62" s="63"/>
      <c r="H62" s="64"/>
      <c r="I62" s="63"/>
      <c r="J62" s="64"/>
      <c r="K62" s="63"/>
      <c r="L62" s="63"/>
      <c r="M62" s="63"/>
      <c r="N62" s="63"/>
    </row>
    <row r="63" spans="2:14" ht="16.5" thickTop="1" x14ac:dyDescent="0.25">
      <c r="B63" s="62"/>
      <c r="C63" s="63"/>
      <c r="D63" s="63"/>
      <c r="E63" s="63"/>
      <c r="F63" s="63"/>
      <c r="G63" s="63"/>
      <c r="H63" s="64"/>
      <c r="I63" s="63"/>
      <c r="J63" s="64"/>
      <c r="K63" s="63"/>
      <c r="L63" s="63"/>
      <c r="M63" s="63"/>
      <c r="N63" s="65"/>
    </row>
    <row r="64" spans="2:14" ht="32.25" customHeight="1" x14ac:dyDescent="0.25">
      <c r="B64" s="66"/>
      <c r="D64" s="192" t="s">
        <v>86</v>
      </c>
      <c r="E64" s="193"/>
      <c r="F64" s="193"/>
      <c r="G64" s="193"/>
      <c r="H64" s="127" t="s">
        <v>87</v>
      </c>
      <c r="I64" s="128" t="s">
        <v>62</v>
      </c>
      <c r="J64" s="129" t="s">
        <v>88</v>
      </c>
      <c r="K64" s="130" t="s">
        <v>89</v>
      </c>
      <c r="N64" s="70"/>
    </row>
    <row r="65" spans="2:14" x14ac:dyDescent="0.25">
      <c r="B65" s="66"/>
      <c r="D65" s="188" t="s">
        <v>20</v>
      </c>
      <c r="E65" s="189"/>
      <c r="F65" s="189"/>
      <c r="G65" s="189"/>
      <c r="H65" s="131"/>
      <c r="J65" s="131"/>
      <c r="K65" s="132"/>
      <c r="N65" s="70"/>
    </row>
    <row r="66" spans="2:14" x14ac:dyDescent="0.25">
      <c r="B66" s="66"/>
      <c r="D66" s="188" t="s">
        <v>7</v>
      </c>
      <c r="E66" s="189"/>
      <c r="F66" s="189"/>
      <c r="G66" s="189"/>
      <c r="H66" s="131"/>
      <c r="J66" s="131"/>
      <c r="K66" s="132"/>
      <c r="N66" s="70"/>
    </row>
    <row r="67" spans="2:14" x14ac:dyDescent="0.25">
      <c r="B67" s="66"/>
      <c r="D67" s="188" t="s">
        <v>6</v>
      </c>
      <c r="E67" s="189"/>
      <c r="F67" s="189"/>
      <c r="G67" s="189"/>
      <c r="H67" s="131"/>
      <c r="J67" s="131"/>
      <c r="K67" s="132"/>
      <c r="N67" s="70"/>
    </row>
    <row r="68" spans="2:14" x14ac:dyDescent="0.25">
      <c r="B68" s="66"/>
      <c r="D68" s="188" t="s">
        <v>10</v>
      </c>
      <c r="E68" s="189"/>
      <c r="F68" s="189"/>
      <c r="G68" s="189"/>
      <c r="H68" s="131"/>
      <c r="J68" s="131"/>
      <c r="K68" s="132"/>
      <c r="N68" s="70"/>
    </row>
    <row r="69" spans="2:14" x14ac:dyDescent="0.25">
      <c r="B69" s="66"/>
      <c r="D69" s="188" t="s">
        <v>21</v>
      </c>
      <c r="E69" s="189"/>
      <c r="F69" s="189"/>
      <c r="G69" s="189"/>
      <c r="H69" s="131"/>
      <c r="J69" s="131"/>
      <c r="K69" s="132"/>
      <c r="N69" s="70"/>
    </row>
    <row r="70" spans="2:14" x14ac:dyDescent="0.25">
      <c r="B70" s="66"/>
      <c r="D70" s="188" t="s">
        <v>5</v>
      </c>
      <c r="E70" s="189"/>
      <c r="F70" s="189"/>
      <c r="G70" s="189"/>
      <c r="H70" s="131"/>
      <c r="J70" s="131"/>
      <c r="K70" s="132"/>
      <c r="N70" s="70"/>
    </row>
    <row r="71" spans="2:14" x14ac:dyDescent="0.25">
      <c r="B71" s="66"/>
      <c r="D71" s="188" t="s">
        <v>22</v>
      </c>
      <c r="E71" s="189"/>
      <c r="F71" s="189"/>
      <c r="G71" s="189"/>
      <c r="H71" s="131"/>
      <c r="J71" s="131"/>
      <c r="K71" s="132"/>
      <c r="N71" s="70"/>
    </row>
    <row r="72" spans="2:14" x14ac:dyDescent="0.25">
      <c r="B72" s="66"/>
      <c r="D72" s="188" t="s">
        <v>8</v>
      </c>
      <c r="E72" s="189"/>
      <c r="F72" s="189"/>
      <c r="G72" s="189"/>
      <c r="H72" s="131"/>
      <c r="J72" s="131"/>
      <c r="K72" s="132"/>
      <c r="N72" s="70"/>
    </row>
    <row r="73" spans="2:14" x14ac:dyDescent="0.25">
      <c r="B73" s="66"/>
      <c r="D73" s="188" t="s">
        <v>23</v>
      </c>
      <c r="E73" s="189"/>
      <c r="F73" s="189"/>
      <c r="G73" s="189"/>
      <c r="H73" s="131"/>
      <c r="J73" s="131"/>
      <c r="K73" s="132"/>
      <c r="N73" s="70"/>
    </row>
    <row r="74" spans="2:14" x14ac:dyDescent="0.25">
      <c r="B74" s="66"/>
      <c r="D74" s="188" t="s">
        <v>36</v>
      </c>
      <c r="E74" s="189"/>
      <c r="F74" s="189"/>
      <c r="G74" s="189"/>
      <c r="H74" s="131"/>
      <c r="J74" s="131"/>
      <c r="K74" s="132"/>
      <c r="N74" s="70"/>
    </row>
    <row r="75" spans="2:14" x14ac:dyDescent="0.25">
      <c r="B75" s="66"/>
      <c r="D75" s="188" t="s">
        <v>9</v>
      </c>
      <c r="E75" s="189"/>
      <c r="F75" s="189"/>
      <c r="G75" s="189"/>
      <c r="H75" s="131"/>
      <c r="J75" s="131"/>
      <c r="K75" s="132"/>
      <c r="N75" s="70"/>
    </row>
    <row r="76" spans="2:14" x14ac:dyDescent="0.25">
      <c r="B76" s="66"/>
      <c r="D76" s="188" t="s">
        <v>24</v>
      </c>
      <c r="E76" s="189"/>
      <c r="F76" s="189"/>
      <c r="G76" s="189"/>
      <c r="H76" s="131"/>
      <c r="J76" s="131"/>
      <c r="K76" s="132"/>
      <c r="N76" s="70"/>
    </row>
    <row r="77" spans="2:14" x14ac:dyDescent="0.25">
      <c r="B77" s="66"/>
      <c r="D77" s="188" t="s">
        <v>37</v>
      </c>
      <c r="E77" s="189"/>
      <c r="F77" s="189"/>
      <c r="G77" s="189"/>
      <c r="H77" s="131"/>
      <c r="J77" s="131"/>
      <c r="K77" s="132"/>
      <c r="N77" s="70"/>
    </row>
    <row r="78" spans="2:14" x14ac:dyDescent="0.25">
      <c r="B78" s="66"/>
      <c r="D78" s="183" t="s">
        <v>90</v>
      </c>
      <c r="E78" s="184"/>
      <c r="F78" s="184"/>
      <c r="G78" s="185"/>
      <c r="H78" s="133"/>
      <c r="I78" s="134">
        <f>SUM(I65:I77)</f>
        <v>0</v>
      </c>
      <c r="J78" s="135">
        <f>SUM(J65:J77)</f>
        <v>0</v>
      </c>
      <c r="K78" s="136">
        <f>SUM(K65:K77)</f>
        <v>0</v>
      </c>
      <c r="N78" s="70"/>
    </row>
    <row r="79" spans="2:14" ht="16.5" thickBot="1" x14ac:dyDescent="0.3">
      <c r="B79" s="75"/>
      <c r="C79" s="76"/>
      <c r="D79" s="76"/>
      <c r="E79" s="76"/>
      <c r="F79" s="76"/>
      <c r="G79" s="76"/>
      <c r="H79" s="77"/>
      <c r="I79" s="76"/>
      <c r="J79" s="77"/>
      <c r="K79" s="76"/>
      <c r="L79" s="76"/>
      <c r="M79" s="76"/>
      <c r="N79" s="78"/>
    </row>
    <row r="80" spans="2:14" ht="16.5" thickTop="1" x14ac:dyDescent="0.25">
      <c r="B80" s="66"/>
      <c r="G80" s="137"/>
      <c r="H80" s="138"/>
      <c r="I80" s="137"/>
      <c r="J80" s="138"/>
      <c r="N80" s="70"/>
    </row>
    <row r="81" spans="2:14" ht="15.75" customHeight="1" x14ac:dyDescent="0.25">
      <c r="B81" s="66"/>
      <c r="F81" s="186" t="s">
        <v>91</v>
      </c>
      <c r="G81" s="186"/>
      <c r="H81" s="139" t="s">
        <v>92</v>
      </c>
      <c r="I81" s="127" t="s">
        <v>80</v>
      </c>
      <c r="N81" s="70"/>
    </row>
    <row r="82" spans="2:14" x14ac:dyDescent="0.25">
      <c r="B82" s="66"/>
      <c r="F82" s="187" t="s">
        <v>35</v>
      </c>
      <c r="G82" s="187"/>
      <c r="H82" s="140"/>
      <c r="I82" s="141"/>
      <c r="N82" s="70"/>
    </row>
    <row r="83" spans="2:14" x14ac:dyDescent="0.25">
      <c r="B83" s="66"/>
      <c r="F83" s="180" t="s">
        <v>93</v>
      </c>
      <c r="G83" s="180"/>
      <c r="H83" s="142">
        <f>+D60</f>
        <v>35</v>
      </c>
      <c r="I83" s="143"/>
      <c r="N83" s="70"/>
    </row>
    <row r="84" spans="2:14" x14ac:dyDescent="0.25">
      <c r="B84" s="66"/>
      <c r="F84" s="180" t="s">
        <v>94</v>
      </c>
      <c r="G84" s="180"/>
      <c r="H84" s="144"/>
      <c r="I84" s="143"/>
      <c r="N84" s="70"/>
    </row>
    <row r="85" spans="2:14" x14ac:dyDescent="0.25">
      <c r="B85" s="66"/>
      <c r="F85" s="180" t="s">
        <v>95</v>
      </c>
      <c r="G85" s="180"/>
      <c r="H85" s="144"/>
      <c r="I85" s="143"/>
      <c r="N85" s="70"/>
    </row>
    <row r="86" spans="2:14" x14ac:dyDescent="0.25">
      <c r="B86" s="66"/>
      <c r="F86" s="181" t="s">
        <v>96</v>
      </c>
      <c r="G86" s="181"/>
      <c r="H86" s="145"/>
      <c r="I86" s="146"/>
      <c r="N86" s="70"/>
    </row>
    <row r="87" spans="2:14" x14ac:dyDescent="0.25">
      <c r="B87" s="66"/>
      <c r="F87" s="182" t="s">
        <v>90</v>
      </c>
      <c r="G87" s="182"/>
      <c r="H87" s="147"/>
      <c r="I87" s="133">
        <f>SUM(I82:I86)</f>
        <v>0</v>
      </c>
      <c r="N87" s="70"/>
    </row>
    <row r="88" spans="2:14" ht="16.5" thickBot="1" x14ac:dyDescent="0.3">
      <c r="B88" s="75"/>
      <c r="C88" s="76"/>
      <c r="D88" s="76"/>
      <c r="E88" s="76"/>
      <c r="F88" s="76"/>
      <c r="G88" s="76"/>
      <c r="H88" s="77"/>
      <c r="I88" s="76"/>
      <c r="J88" s="77"/>
      <c r="K88" s="76"/>
      <c r="L88" s="76"/>
      <c r="M88" s="76"/>
      <c r="N88" s="78"/>
    </row>
    <row r="89" spans="2:14" ht="16.5" thickTop="1" x14ac:dyDescent="0.25">
      <c r="I89" s="104"/>
    </row>
  </sheetData>
  <sortState ref="C25:I59">
    <sortCondition ref="C25"/>
  </sortState>
  <mergeCells count="53">
    <mergeCell ref="F83:G83"/>
    <mergeCell ref="F84:G84"/>
    <mergeCell ref="F85:G85"/>
    <mergeCell ref="F86:G86"/>
    <mergeCell ref="F87:G87"/>
    <mergeCell ref="F82:G82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F81:G81"/>
    <mergeCell ref="D68:G68"/>
    <mergeCell ref="H23:H24"/>
    <mergeCell ref="I23:I24"/>
    <mergeCell ref="J23:J24"/>
    <mergeCell ref="K23:K24"/>
    <mergeCell ref="F60:G60"/>
    <mergeCell ref="D64:G64"/>
    <mergeCell ref="D65:G65"/>
    <mergeCell ref="D66:G66"/>
    <mergeCell ref="D67:G67"/>
    <mergeCell ref="L23:L24"/>
    <mergeCell ref="M23:M24"/>
    <mergeCell ref="C20:D20"/>
    <mergeCell ref="E20:F20"/>
    <mergeCell ref="C23:C24"/>
    <mergeCell ref="D23:D24"/>
    <mergeCell ref="E23:E24"/>
    <mergeCell ref="F23:G23"/>
    <mergeCell ref="C17:D17"/>
    <mergeCell ref="E17:F17"/>
    <mergeCell ref="C18:D18"/>
    <mergeCell ref="E18:F18"/>
    <mergeCell ref="C19:D19"/>
    <mergeCell ref="E19:F19"/>
    <mergeCell ref="L10:M10"/>
    <mergeCell ref="E14:F14"/>
    <mergeCell ref="C15:D15"/>
    <mergeCell ref="E15:F15"/>
    <mergeCell ref="C16:D16"/>
    <mergeCell ref="E16:F16"/>
    <mergeCell ref="C8:D8"/>
    <mergeCell ref="E8:H8"/>
    <mergeCell ref="J8:M8"/>
    <mergeCell ref="C9:D9"/>
    <mergeCell ref="E9:H9"/>
    <mergeCell ref="L9:M9"/>
  </mergeCells>
  <conditionalFormatting sqref="M25:M59">
    <cfRule type="cellIs" dxfId="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18" zoomScaleNormal="100" workbookViewId="0">
      <selection activeCell="E15" sqref="E15:F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222"/>
      <c r="C2" s="223"/>
      <c r="D2" s="224"/>
      <c r="E2" s="220" t="s">
        <v>4</v>
      </c>
      <c r="F2" s="221"/>
    </row>
    <row r="3" spans="2:9" ht="18" customHeight="1" thickBot="1" x14ac:dyDescent="0.3">
      <c r="B3" s="225"/>
      <c r="C3" s="226"/>
      <c r="D3" s="227"/>
      <c r="E3" s="51" t="s">
        <v>45</v>
      </c>
      <c r="F3" s="58">
        <v>46147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106">
        <v>1</v>
      </c>
      <c r="C5" s="14">
        <v>174</v>
      </c>
      <c r="D5" s="150" t="s">
        <v>155</v>
      </c>
      <c r="E5" s="107">
        <v>117.3</v>
      </c>
      <c r="F5" s="107">
        <v>116.6</v>
      </c>
    </row>
    <row r="6" spans="2:9" ht="20.45" customHeight="1" x14ac:dyDescent="0.25">
      <c r="B6" s="7">
        <f>+B5+1</f>
        <v>2</v>
      </c>
      <c r="C6" s="18">
        <v>174</v>
      </c>
      <c r="D6" s="151" t="s">
        <v>155</v>
      </c>
      <c r="E6" s="53">
        <v>114.1</v>
      </c>
      <c r="F6" s="53">
        <v>114.9</v>
      </c>
    </row>
    <row r="7" spans="2:9" ht="20.45" customHeight="1" x14ac:dyDescent="0.25">
      <c r="B7" s="7">
        <f t="shared" ref="B7:B34" si="0">+B6+1</f>
        <v>3</v>
      </c>
      <c r="C7" s="18">
        <v>174</v>
      </c>
      <c r="D7" s="151" t="s">
        <v>155</v>
      </c>
      <c r="E7" s="53">
        <v>113.8</v>
      </c>
      <c r="F7" s="53">
        <v>114.5</v>
      </c>
    </row>
    <row r="8" spans="2:9" ht="20.45" customHeight="1" x14ac:dyDescent="0.25">
      <c r="B8" s="7">
        <f t="shared" si="0"/>
        <v>4</v>
      </c>
      <c r="C8" s="18">
        <v>174</v>
      </c>
      <c r="D8" s="151" t="s">
        <v>156</v>
      </c>
      <c r="E8" s="53">
        <v>123.7</v>
      </c>
      <c r="F8" s="53">
        <v>122.9</v>
      </c>
    </row>
    <row r="9" spans="2:9" ht="20.45" customHeight="1" x14ac:dyDescent="0.25">
      <c r="B9" s="7">
        <f t="shared" si="0"/>
        <v>5</v>
      </c>
      <c r="C9" s="18">
        <v>174</v>
      </c>
      <c r="D9" s="151" t="s">
        <v>155</v>
      </c>
      <c r="E9" s="53">
        <v>130.9</v>
      </c>
      <c r="F9" s="53">
        <v>133.5</v>
      </c>
    </row>
    <row r="10" spans="2:9" ht="20.45" customHeight="1" x14ac:dyDescent="0.25">
      <c r="B10" s="7">
        <f t="shared" si="0"/>
        <v>6</v>
      </c>
      <c r="C10" s="18">
        <v>174</v>
      </c>
      <c r="D10" s="151" t="s">
        <v>155</v>
      </c>
      <c r="E10" s="53">
        <v>133.6</v>
      </c>
      <c r="F10" s="53">
        <v>134.5</v>
      </c>
    </row>
    <row r="11" spans="2:9" ht="20.45" customHeight="1" x14ac:dyDescent="0.25">
      <c r="B11" s="7">
        <f t="shared" si="0"/>
        <v>7</v>
      </c>
      <c r="C11" s="18">
        <v>174</v>
      </c>
      <c r="D11" s="151" t="s">
        <v>155</v>
      </c>
      <c r="E11" s="53">
        <v>157.9</v>
      </c>
      <c r="F11" s="53">
        <v>159</v>
      </c>
    </row>
    <row r="12" spans="2:9" ht="20.45" customHeight="1" x14ac:dyDescent="0.25">
      <c r="B12" s="7">
        <f t="shared" si="0"/>
        <v>8</v>
      </c>
      <c r="C12" s="18">
        <v>174</v>
      </c>
      <c r="D12" s="151" t="s">
        <v>155</v>
      </c>
      <c r="E12" s="53">
        <v>139.30000000000001</v>
      </c>
      <c r="F12" s="53">
        <v>139.30000000000001</v>
      </c>
    </row>
    <row r="13" spans="2:9" ht="20.45" customHeight="1" x14ac:dyDescent="0.25">
      <c r="B13" s="7">
        <f t="shared" si="0"/>
        <v>9</v>
      </c>
      <c r="C13" s="18">
        <v>174</v>
      </c>
      <c r="D13" s="151" t="s">
        <v>156</v>
      </c>
      <c r="E13" s="53">
        <v>114.9</v>
      </c>
      <c r="F13" s="53">
        <v>116.9</v>
      </c>
    </row>
    <row r="14" spans="2:9" ht="20.45" customHeight="1" x14ac:dyDescent="0.25">
      <c r="B14" s="7">
        <f t="shared" si="0"/>
        <v>10</v>
      </c>
      <c r="C14" s="18">
        <v>174</v>
      </c>
      <c r="D14" s="151" t="s">
        <v>155</v>
      </c>
      <c r="E14" s="53">
        <v>145.9</v>
      </c>
      <c r="F14" s="53">
        <v>148.4</v>
      </c>
    </row>
    <row r="15" spans="2:9" ht="20.45" customHeight="1" x14ac:dyDescent="0.25">
      <c r="B15" s="7">
        <f t="shared" si="0"/>
        <v>11</v>
      </c>
      <c r="C15" s="18">
        <v>175</v>
      </c>
      <c r="D15" s="151" t="s">
        <v>157</v>
      </c>
      <c r="E15" s="54">
        <v>147.1</v>
      </c>
      <c r="F15" s="54">
        <v>147.9</v>
      </c>
    </row>
    <row r="16" spans="2:9" ht="20.45" customHeight="1" x14ac:dyDescent="0.25">
      <c r="B16" s="7">
        <f t="shared" si="0"/>
        <v>12</v>
      </c>
      <c r="C16" s="18">
        <v>175</v>
      </c>
      <c r="D16" s="151" t="s">
        <v>157</v>
      </c>
      <c r="E16" s="54">
        <v>158.19999999999999</v>
      </c>
      <c r="F16" s="54">
        <v>158</v>
      </c>
    </row>
    <row r="17" spans="2:6" ht="20.45" customHeight="1" x14ac:dyDescent="0.25">
      <c r="B17" s="7">
        <f t="shared" si="0"/>
        <v>13</v>
      </c>
      <c r="C17" s="18">
        <v>175</v>
      </c>
      <c r="D17" s="151" t="s">
        <v>157</v>
      </c>
      <c r="E17" s="53">
        <v>155.9</v>
      </c>
      <c r="F17" s="53">
        <v>154.19999999999999</v>
      </c>
    </row>
    <row r="18" spans="2:6" ht="20.45" customHeight="1" x14ac:dyDescent="0.25">
      <c r="B18" s="7">
        <f t="shared" si="0"/>
        <v>14</v>
      </c>
      <c r="C18" s="18">
        <v>175</v>
      </c>
      <c r="D18" s="151" t="s">
        <v>157</v>
      </c>
      <c r="E18" s="53">
        <v>162.19999999999999</v>
      </c>
      <c r="F18" s="53">
        <v>163.80000000000001</v>
      </c>
    </row>
    <row r="19" spans="2:6" ht="20.45" customHeight="1" x14ac:dyDescent="0.25">
      <c r="B19" s="7">
        <f t="shared" si="0"/>
        <v>15</v>
      </c>
      <c r="C19" s="18">
        <v>175</v>
      </c>
      <c r="D19" s="151" t="s">
        <v>157</v>
      </c>
      <c r="E19" s="53">
        <v>143.5</v>
      </c>
      <c r="F19" s="53">
        <v>143.19999999999999</v>
      </c>
    </row>
    <row r="20" spans="2:6" ht="20.45" customHeight="1" x14ac:dyDescent="0.25">
      <c r="B20" s="7">
        <f t="shared" si="0"/>
        <v>16</v>
      </c>
      <c r="C20" s="18">
        <v>175</v>
      </c>
      <c r="D20" s="151" t="s">
        <v>157</v>
      </c>
      <c r="E20" s="53">
        <v>161.4</v>
      </c>
      <c r="F20" s="53">
        <v>159.1</v>
      </c>
    </row>
    <row r="21" spans="2:6" ht="20.45" customHeight="1" x14ac:dyDescent="0.25">
      <c r="B21" s="7">
        <f t="shared" si="0"/>
        <v>17</v>
      </c>
      <c r="C21" s="18">
        <v>175</v>
      </c>
      <c r="D21" s="151" t="s">
        <v>157</v>
      </c>
      <c r="E21" s="53">
        <v>150.19999999999999</v>
      </c>
      <c r="F21" s="53">
        <v>151.80000000000001</v>
      </c>
    </row>
    <row r="22" spans="2:6" ht="20.45" customHeight="1" x14ac:dyDescent="0.25">
      <c r="B22" s="7">
        <f t="shared" si="0"/>
        <v>18</v>
      </c>
      <c r="C22" s="18">
        <v>175</v>
      </c>
      <c r="D22" s="151" t="s">
        <v>157</v>
      </c>
      <c r="E22" s="53">
        <v>154.80000000000001</v>
      </c>
      <c r="F22" s="53">
        <v>152.4</v>
      </c>
    </row>
    <row r="23" spans="2:6" ht="20.45" customHeight="1" x14ac:dyDescent="0.25">
      <c r="B23" s="7">
        <f t="shared" si="0"/>
        <v>19</v>
      </c>
      <c r="C23" s="18">
        <v>175</v>
      </c>
      <c r="D23" s="151" t="s">
        <v>157</v>
      </c>
      <c r="E23" s="53">
        <v>185.8</v>
      </c>
      <c r="F23" s="53">
        <v>185.9</v>
      </c>
    </row>
    <row r="24" spans="2:6" ht="20.45" customHeight="1" x14ac:dyDescent="0.25">
      <c r="B24" s="7">
        <f t="shared" si="0"/>
        <v>20</v>
      </c>
      <c r="C24" s="18">
        <v>175</v>
      </c>
      <c r="D24" s="151" t="s">
        <v>158</v>
      </c>
      <c r="E24" s="53">
        <v>144.4</v>
      </c>
      <c r="F24" s="53">
        <v>142.69999999999999</v>
      </c>
    </row>
    <row r="25" spans="2:6" ht="20.45" customHeight="1" x14ac:dyDescent="0.25">
      <c r="B25" s="7">
        <f t="shared" si="0"/>
        <v>21</v>
      </c>
      <c r="C25" s="18">
        <v>175</v>
      </c>
      <c r="D25" s="151" t="s">
        <v>158</v>
      </c>
      <c r="E25" s="53">
        <v>138.1</v>
      </c>
      <c r="F25" s="53">
        <v>136.6</v>
      </c>
    </row>
    <row r="26" spans="2:6" ht="20.45" customHeight="1" x14ac:dyDescent="0.25">
      <c r="B26" s="7">
        <f t="shared" si="0"/>
        <v>22</v>
      </c>
      <c r="C26" s="18">
        <v>175</v>
      </c>
      <c r="D26" s="151" t="s">
        <v>157</v>
      </c>
      <c r="E26" s="53">
        <v>161.9</v>
      </c>
      <c r="F26" s="53">
        <v>161.4</v>
      </c>
    </row>
    <row r="27" spans="2:6" ht="20.45" customHeight="1" x14ac:dyDescent="0.25">
      <c r="B27" s="7">
        <f t="shared" si="0"/>
        <v>23</v>
      </c>
      <c r="C27" s="18">
        <v>175</v>
      </c>
      <c r="D27" s="151" t="s">
        <v>157</v>
      </c>
      <c r="E27" s="53">
        <v>159.30000000000001</v>
      </c>
      <c r="F27" s="53">
        <v>160.80000000000001</v>
      </c>
    </row>
    <row r="28" spans="2:6" ht="20.45" customHeight="1" x14ac:dyDescent="0.25">
      <c r="B28" s="7">
        <f t="shared" si="0"/>
        <v>24</v>
      </c>
      <c r="C28" s="18">
        <v>175</v>
      </c>
      <c r="D28" s="151" t="s">
        <v>158</v>
      </c>
      <c r="E28" s="53">
        <v>132.80000000000001</v>
      </c>
      <c r="F28" s="53">
        <v>133.1</v>
      </c>
    </row>
    <row r="29" spans="2:6" ht="20.45" customHeight="1" x14ac:dyDescent="0.25">
      <c r="B29" s="7">
        <f t="shared" si="0"/>
        <v>25</v>
      </c>
      <c r="C29" s="18">
        <v>175</v>
      </c>
      <c r="D29" s="151" t="s">
        <v>157</v>
      </c>
      <c r="E29" s="53">
        <v>157.6</v>
      </c>
      <c r="F29" s="53">
        <v>157.19999999999999</v>
      </c>
    </row>
    <row r="30" spans="2:6" ht="20.45" customHeight="1" x14ac:dyDescent="0.25">
      <c r="B30" s="7">
        <f t="shared" si="0"/>
        <v>26</v>
      </c>
      <c r="C30" s="18">
        <v>175</v>
      </c>
      <c r="D30" s="151" t="s">
        <v>158</v>
      </c>
      <c r="E30" s="53">
        <v>130.80000000000001</v>
      </c>
      <c r="F30" s="53">
        <v>130.4</v>
      </c>
    </row>
    <row r="31" spans="2:6" ht="20.45" customHeight="1" x14ac:dyDescent="0.25">
      <c r="B31" s="7">
        <f t="shared" si="0"/>
        <v>27</v>
      </c>
      <c r="C31" s="18">
        <v>175</v>
      </c>
      <c r="D31" s="151" t="s">
        <v>157</v>
      </c>
      <c r="E31" s="53">
        <v>201.7</v>
      </c>
      <c r="F31" s="53">
        <v>198.5</v>
      </c>
    </row>
    <row r="32" spans="2:6" ht="20.45" customHeight="1" x14ac:dyDescent="0.25">
      <c r="B32" s="7">
        <f t="shared" si="0"/>
        <v>28</v>
      </c>
      <c r="C32" s="18">
        <v>175</v>
      </c>
      <c r="D32" s="151" t="s">
        <v>158</v>
      </c>
      <c r="E32" s="53">
        <v>129.80000000000001</v>
      </c>
      <c r="F32" s="53">
        <v>129.30000000000001</v>
      </c>
    </row>
    <row r="33" spans="2:6" ht="20.45" customHeight="1" x14ac:dyDescent="0.25">
      <c r="B33" s="7">
        <f t="shared" si="0"/>
        <v>29</v>
      </c>
      <c r="C33" s="15">
        <v>175</v>
      </c>
      <c r="D33" s="151" t="s">
        <v>158</v>
      </c>
      <c r="E33" s="53">
        <v>136.80000000000001</v>
      </c>
      <c r="F33" s="53">
        <v>134.9</v>
      </c>
    </row>
    <row r="34" spans="2:6" ht="20.45" customHeight="1" thickBot="1" x14ac:dyDescent="0.3">
      <c r="B34" s="8">
        <f t="shared" si="0"/>
        <v>30</v>
      </c>
      <c r="C34" s="17">
        <v>175</v>
      </c>
      <c r="D34" s="152" t="s">
        <v>158</v>
      </c>
      <c r="E34" s="55">
        <v>144.69999999999999</v>
      </c>
      <c r="F34" s="55">
        <v>145.4</v>
      </c>
    </row>
    <row r="35" spans="2:6" ht="20.45" customHeight="1" x14ac:dyDescent="0.25"/>
    <row r="36" spans="2:6" x14ac:dyDescent="0.25">
      <c r="B36" s="29" t="s">
        <v>49</v>
      </c>
      <c r="C36" s="31" t="s">
        <v>34</v>
      </c>
      <c r="D36" s="30" t="s">
        <v>50</v>
      </c>
      <c r="E36" s="31" t="s">
        <v>34</v>
      </c>
      <c r="F36" s="30" t="s">
        <v>50</v>
      </c>
    </row>
    <row r="37" spans="2:6" x14ac:dyDescent="0.25">
      <c r="B37" s="29">
        <v>174</v>
      </c>
      <c r="C37" s="31">
        <v>8</v>
      </c>
      <c r="D37" s="31" t="s">
        <v>74</v>
      </c>
      <c r="E37" s="30" t="s">
        <v>97</v>
      </c>
      <c r="F37" s="30">
        <v>2</v>
      </c>
    </row>
    <row r="38" spans="2:6" x14ac:dyDescent="0.25">
      <c r="B38" s="29">
        <v>175</v>
      </c>
      <c r="C38" s="31">
        <v>25</v>
      </c>
      <c r="D38" s="31" t="s">
        <v>98</v>
      </c>
      <c r="E38" s="30" t="s">
        <v>99</v>
      </c>
      <c r="F38" s="30">
        <v>10</v>
      </c>
    </row>
    <row r="39" spans="2:6" x14ac:dyDescent="0.25">
      <c r="B39" s="29"/>
      <c r="C39" s="31"/>
      <c r="D39" s="31"/>
      <c r="E39" s="30"/>
      <c r="F39" s="30"/>
    </row>
  </sheetData>
  <mergeCells count="2">
    <mergeCell ref="E2:F2"/>
    <mergeCell ref="B2:D3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topLeftCell="A3" zoomScaleNormal="100" workbookViewId="0">
      <selection activeCell="E5" sqref="E5:F19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3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222"/>
      <c r="C2" s="223"/>
      <c r="D2" s="224"/>
      <c r="E2" s="220" t="s">
        <v>4</v>
      </c>
      <c r="F2" s="221"/>
    </row>
    <row r="3" spans="2:9" ht="18" customHeight="1" thickBot="1" x14ac:dyDescent="0.3">
      <c r="B3" s="225"/>
      <c r="C3" s="226"/>
      <c r="D3" s="227"/>
      <c r="E3" s="50" t="s">
        <v>45</v>
      </c>
      <c r="F3" s="59">
        <f>+'ROMANEO 1'!F3</f>
        <v>46147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6">
        <v>31</v>
      </c>
      <c r="C5" s="18">
        <v>175</v>
      </c>
      <c r="D5" s="150" t="s">
        <v>157</v>
      </c>
      <c r="E5" s="52">
        <v>196.7</v>
      </c>
      <c r="F5" s="52">
        <v>193.4</v>
      </c>
    </row>
    <row r="6" spans="2:9" ht="20.45" customHeight="1" x14ac:dyDescent="0.25">
      <c r="B6" s="7">
        <f>+B5+1</f>
        <v>32</v>
      </c>
      <c r="C6" s="18">
        <v>175</v>
      </c>
      <c r="D6" s="151" t="s">
        <v>157</v>
      </c>
      <c r="E6" s="53">
        <v>156.1</v>
      </c>
      <c r="F6" s="53">
        <v>154.6</v>
      </c>
    </row>
    <row r="7" spans="2:9" ht="20.45" customHeight="1" x14ac:dyDescent="0.25">
      <c r="B7" s="7">
        <f t="shared" ref="B7:B34" si="0">+B6+1</f>
        <v>33</v>
      </c>
      <c r="C7" s="18">
        <v>175</v>
      </c>
      <c r="D7" s="151" t="s">
        <v>157</v>
      </c>
      <c r="E7" s="53">
        <v>150.5</v>
      </c>
      <c r="F7" s="53">
        <v>151.69999999999999</v>
      </c>
    </row>
    <row r="8" spans="2:9" ht="20.45" customHeight="1" x14ac:dyDescent="0.25">
      <c r="B8" s="7">
        <f t="shared" si="0"/>
        <v>34</v>
      </c>
      <c r="C8" s="18">
        <v>175</v>
      </c>
      <c r="D8" s="151" t="s">
        <v>157</v>
      </c>
      <c r="E8" s="53">
        <v>144.19999999999999</v>
      </c>
      <c r="F8" s="53">
        <v>143.80000000000001</v>
      </c>
    </row>
    <row r="9" spans="2:9" ht="20.45" customHeight="1" x14ac:dyDescent="0.25">
      <c r="B9" s="7">
        <f t="shared" si="0"/>
        <v>35</v>
      </c>
      <c r="C9" s="18">
        <v>175</v>
      </c>
      <c r="D9" s="151" t="s">
        <v>157</v>
      </c>
      <c r="E9" s="53">
        <v>152.9</v>
      </c>
      <c r="F9" s="53">
        <v>153.1</v>
      </c>
    </row>
    <row r="10" spans="2:9" ht="20.45" customHeight="1" x14ac:dyDescent="0.25">
      <c r="B10" s="7">
        <f t="shared" si="0"/>
        <v>36</v>
      </c>
      <c r="C10" s="18">
        <v>175</v>
      </c>
      <c r="D10" s="151" t="s">
        <v>157</v>
      </c>
      <c r="E10" s="53">
        <v>148.19999999999999</v>
      </c>
      <c r="F10" s="53">
        <v>148.1</v>
      </c>
    </row>
    <row r="11" spans="2:9" ht="20.45" customHeight="1" x14ac:dyDescent="0.25">
      <c r="B11" s="7">
        <f t="shared" si="0"/>
        <v>37</v>
      </c>
      <c r="C11" s="18">
        <v>175</v>
      </c>
      <c r="D11" s="151" t="s">
        <v>158</v>
      </c>
      <c r="E11" s="53">
        <v>133.9</v>
      </c>
      <c r="F11" s="53">
        <v>131.9</v>
      </c>
    </row>
    <row r="12" spans="2:9" ht="20.45" customHeight="1" x14ac:dyDescent="0.25">
      <c r="B12" s="7">
        <f t="shared" si="0"/>
        <v>38</v>
      </c>
      <c r="C12" s="18">
        <v>175</v>
      </c>
      <c r="D12" s="151" t="s">
        <v>157</v>
      </c>
      <c r="E12" s="53">
        <v>145.19999999999999</v>
      </c>
      <c r="F12" s="53">
        <v>144.69999999999999</v>
      </c>
    </row>
    <row r="13" spans="2:9" ht="20.45" customHeight="1" x14ac:dyDescent="0.25">
      <c r="B13" s="7">
        <f t="shared" si="0"/>
        <v>39</v>
      </c>
      <c r="C13" s="18">
        <v>175</v>
      </c>
      <c r="D13" s="151" t="s">
        <v>157</v>
      </c>
      <c r="E13" s="53">
        <v>182.3</v>
      </c>
      <c r="F13" s="53">
        <v>179.2</v>
      </c>
    </row>
    <row r="14" spans="2:9" ht="20.45" customHeight="1" x14ac:dyDescent="0.25">
      <c r="B14" s="7">
        <f t="shared" si="0"/>
        <v>40</v>
      </c>
      <c r="C14" s="18">
        <v>175</v>
      </c>
      <c r="D14" s="151" t="s">
        <v>157</v>
      </c>
      <c r="E14" s="53">
        <v>157.5</v>
      </c>
      <c r="F14" s="53">
        <v>157</v>
      </c>
    </row>
    <row r="15" spans="2:9" ht="20.45" customHeight="1" x14ac:dyDescent="0.25">
      <c r="B15" s="7">
        <f t="shared" si="0"/>
        <v>41</v>
      </c>
      <c r="C15" s="18">
        <v>175</v>
      </c>
      <c r="D15" s="151" t="s">
        <v>158</v>
      </c>
      <c r="E15" s="54">
        <v>133.4</v>
      </c>
      <c r="F15" s="54">
        <v>133</v>
      </c>
    </row>
    <row r="16" spans="2:9" ht="20.45" customHeight="1" x14ac:dyDescent="0.25">
      <c r="B16" s="7">
        <f t="shared" si="0"/>
        <v>42</v>
      </c>
      <c r="C16" s="18">
        <v>175</v>
      </c>
      <c r="D16" s="151" t="s">
        <v>158</v>
      </c>
      <c r="E16" s="54">
        <v>136.69999999999999</v>
      </c>
      <c r="F16" s="54">
        <v>138.6</v>
      </c>
    </row>
    <row r="17" spans="2:6" ht="20.45" customHeight="1" x14ac:dyDescent="0.25">
      <c r="B17" s="7">
        <f t="shared" si="0"/>
        <v>43</v>
      </c>
      <c r="C17" s="18">
        <v>175</v>
      </c>
      <c r="D17" s="151" t="s">
        <v>157</v>
      </c>
      <c r="E17" s="53">
        <v>144.80000000000001</v>
      </c>
      <c r="F17" s="53">
        <v>144.30000000000001</v>
      </c>
    </row>
    <row r="18" spans="2:6" ht="20.45" customHeight="1" x14ac:dyDescent="0.25">
      <c r="B18" s="7">
        <f t="shared" si="0"/>
        <v>44</v>
      </c>
      <c r="C18" s="18">
        <v>175</v>
      </c>
      <c r="D18" s="151" t="s">
        <v>157</v>
      </c>
      <c r="E18" s="53">
        <v>192.6</v>
      </c>
      <c r="F18" s="53">
        <v>192</v>
      </c>
    </row>
    <row r="19" spans="2:6" ht="20.45" customHeight="1" x14ac:dyDescent="0.25">
      <c r="B19" s="7">
        <f t="shared" si="0"/>
        <v>45</v>
      </c>
      <c r="C19" s="18">
        <v>175</v>
      </c>
      <c r="D19" s="151" t="s">
        <v>157</v>
      </c>
      <c r="E19" s="53">
        <v>147.1</v>
      </c>
      <c r="F19" s="53">
        <v>148.6</v>
      </c>
    </row>
    <row r="20" spans="2:6" ht="20.45" customHeight="1" x14ac:dyDescent="0.25">
      <c r="B20" s="7">
        <f t="shared" si="0"/>
        <v>46</v>
      </c>
      <c r="C20" s="18"/>
      <c r="D20" s="16"/>
      <c r="E20" s="53"/>
      <c r="F20" s="53"/>
    </row>
    <row r="21" spans="2:6" ht="20.45" customHeight="1" x14ac:dyDescent="0.25">
      <c r="B21" s="7">
        <f t="shared" si="0"/>
        <v>47</v>
      </c>
      <c r="C21" s="18"/>
      <c r="D21" s="16"/>
      <c r="E21" s="53"/>
      <c r="F21" s="53"/>
    </row>
    <row r="22" spans="2:6" ht="20.45" customHeight="1" x14ac:dyDescent="0.25">
      <c r="B22" s="7">
        <f t="shared" si="0"/>
        <v>48</v>
      </c>
      <c r="C22" s="18"/>
      <c r="D22" s="16"/>
      <c r="E22" s="53"/>
      <c r="F22" s="53"/>
    </row>
    <row r="23" spans="2:6" ht="20.45" customHeight="1" x14ac:dyDescent="0.25">
      <c r="B23" s="7">
        <f t="shared" si="0"/>
        <v>49</v>
      </c>
      <c r="C23" s="18"/>
      <c r="D23" s="16"/>
      <c r="E23" s="53"/>
      <c r="F23" s="53"/>
    </row>
    <row r="24" spans="2:6" ht="20.45" customHeight="1" x14ac:dyDescent="0.25">
      <c r="B24" s="7">
        <f t="shared" si="0"/>
        <v>50</v>
      </c>
      <c r="C24" s="18"/>
      <c r="D24" s="16"/>
      <c r="E24" s="53"/>
      <c r="F24" s="53"/>
    </row>
    <row r="25" spans="2:6" ht="20.45" customHeight="1" x14ac:dyDescent="0.25">
      <c r="B25" s="7">
        <f t="shared" si="0"/>
        <v>51</v>
      </c>
      <c r="C25" s="18"/>
      <c r="D25" s="16"/>
      <c r="E25" s="53"/>
      <c r="F25" s="53"/>
    </row>
    <row r="26" spans="2:6" ht="20.45" customHeight="1" x14ac:dyDescent="0.25">
      <c r="B26" s="7">
        <f t="shared" si="0"/>
        <v>52</v>
      </c>
      <c r="C26" s="18"/>
      <c r="D26" s="16"/>
      <c r="E26" s="53"/>
      <c r="F26" s="53"/>
    </row>
    <row r="27" spans="2:6" ht="20.45" customHeight="1" x14ac:dyDescent="0.25">
      <c r="B27" s="7">
        <f t="shared" si="0"/>
        <v>53</v>
      </c>
      <c r="C27" s="18"/>
      <c r="D27" s="16"/>
      <c r="E27" s="53"/>
      <c r="F27" s="53"/>
    </row>
    <row r="28" spans="2:6" ht="20.45" customHeight="1" x14ac:dyDescent="0.25">
      <c r="B28" s="7">
        <f t="shared" si="0"/>
        <v>54</v>
      </c>
      <c r="C28" s="18"/>
      <c r="D28" s="16"/>
      <c r="E28" s="53"/>
      <c r="F28" s="53"/>
    </row>
    <row r="29" spans="2:6" ht="20.45" customHeight="1" x14ac:dyDescent="0.25">
      <c r="B29" s="7">
        <f t="shared" si="0"/>
        <v>55</v>
      </c>
      <c r="C29" s="18"/>
      <c r="D29" s="16"/>
      <c r="E29" s="53"/>
      <c r="F29" s="53"/>
    </row>
    <row r="30" spans="2:6" ht="20.45" customHeight="1" x14ac:dyDescent="0.25">
      <c r="B30" s="7">
        <f t="shared" si="0"/>
        <v>56</v>
      </c>
      <c r="C30" s="15"/>
      <c r="D30" s="16"/>
      <c r="E30" s="53"/>
      <c r="F30" s="53"/>
    </row>
    <row r="31" spans="2:6" ht="20.45" customHeight="1" x14ac:dyDescent="0.25">
      <c r="B31" s="7">
        <f t="shared" si="0"/>
        <v>57</v>
      </c>
      <c r="C31" s="15"/>
      <c r="D31" s="16"/>
      <c r="E31" s="53"/>
      <c r="F31" s="53"/>
    </row>
    <row r="32" spans="2:6" ht="20.45" customHeight="1" x14ac:dyDescent="0.25">
      <c r="B32" s="7">
        <f t="shared" si="0"/>
        <v>58</v>
      </c>
      <c r="C32" s="15"/>
      <c r="D32" s="16"/>
      <c r="E32" s="53"/>
      <c r="F32" s="53"/>
    </row>
    <row r="33" spans="2:6" ht="20.45" customHeight="1" x14ac:dyDescent="0.25">
      <c r="B33" s="7">
        <f t="shared" si="0"/>
        <v>59</v>
      </c>
      <c r="C33" s="15"/>
      <c r="D33" s="16"/>
      <c r="E33" s="53"/>
      <c r="F33" s="53"/>
    </row>
    <row r="34" spans="2:6" ht="20.45" customHeight="1" thickBot="1" x14ac:dyDescent="0.3">
      <c r="B34" s="8">
        <f t="shared" si="0"/>
        <v>60</v>
      </c>
      <c r="C34" s="17"/>
      <c r="D34" s="105"/>
      <c r="E34" s="55"/>
      <c r="F34" s="55"/>
    </row>
    <row r="35" spans="2:6" ht="20.45" customHeight="1" x14ac:dyDescent="0.25"/>
    <row r="36" spans="2:6" x14ac:dyDescent="0.25">
      <c r="B36" s="29" t="s">
        <v>49</v>
      </c>
      <c r="C36" s="31" t="s">
        <v>34</v>
      </c>
      <c r="D36" s="30" t="s">
        <v>50</v>
      </c>
      <c r="E36" s="31" t="s">
        <v>34</v>
      </c>
      <c r="F36" s="30" t="s">
        <v>50</v>
      </c>
    </row>
    <row r="37" spans="2:6" x14ac:dyDescent="0.25">
      <c r="B37" s="29">
        <v>175</v>
      </c>
      <c r="C37" s="31">
        <v>25</v>
      </c>
      <c r="D37" s="31" t="s">
        <v>98</v>
      </c>
      <c r="E37" s="30">
        <v>10</v>
      </c>
      <c r="F37" s="30" t="s">
        <v>99</v>
      </c>
    </row>
    <row r="38" spans="2:6" x14ac:dyDescent="0.25">
      <c r="B38" s="29"/>
      <c r="C38" s="31"/>
      <c r="D38" s="31"/>
      <c r="E38" s="30"/>
      <c r="F38" s="30"/>
    </row>
    <row r="39" spans="2:6" x14ac:dyDescent="0.25">
      <c r="B39" s="29"/>
      <c r="C39" s="31"/>
      <c r="D39" s="31"/>
      <c r="E39" s="30"/>
      <c r="F39" s="30"/>
    </row>
  </sheetData>
  <mergeCells count="2">
    <mergeCell ref="B2:D3"/>
    <mergeCell ref="E2:F2"/>
  </mergeCells>
  <pageMargins left="0.31496062992125984" right="0.31496062992125984" top="0.74803149606299213" bottom="0.74803149606299213" header="0.31496062992125984" footer="0.31496062992125984"/>
  <pageSetup paperSize="9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222"/>
      <c r="C2" s="223"/>
      <c r="D2" s="224"/>
      <c r="E2" s="56" t="s">
        <v>4</v>
      </c>
    </row>
    <row r="3" spans="2:8" ht="18" customHeight="1" thickBot="1" x14ac:dyDescent="0.3">
      <c r="B3" s="225"/>
      <c r="C3" s="226"/>
      <c r="D3" s="227"/>
      <c r="E3" s="57" t="s">
        <v>100</v>
      </c>
    </row>
    <row r="4" spans="2:8" ht="15.75" thickBot="1" x14ac:dyDescent="0.3">
      <c r="B4" s="3" t="s">
        <v>42</v>
      </c>
      <c r="C4" s="3" t="s">
        <v>1</v>
      </c>
      <c r="D4" s="149" t="s">
        <v>14</v>
      </c>
      <c r="E4" s="5" t="s">
        <v>43</v>
      </c>
      <c r="F4" s="1"/>
      <c r="G4" s="1"/>
      <c r="H4" s="1"/>
    </row>
    <row r="5" spans="2:8" ht="20.45" customHeight="1" x14ac:dyDescent="0.25">
      <c r="B5" s="6">
        <v>1</v>
      </c>
      <c r="C5" s="18">
        <v>174</v>
      </c>
      <c r="D5" s="150" t="s">
        <v>155</v>
      </c>
      <c r="E5" s="52"/>
    </row>
    <row r="6" spans="2:8" ht="20.45" customHeight="1" x14ac:dyDescent="0.25">
      <c r="B6" s="7">
        <f>+B5+1</f>
        <v>2</v>
      </c>
      <c r="C6" s="18">
        <v>174</v>
      </c>
      <c r="D6" s="151" t="s">
        <v>155</v>
      </c>
      <c r="E6" s="53"/>
    </row>
    <row r="7" spans="2:8" ht="20.45" customHeight="1" x14ac:dyDescent="0.25">
      <c r="B7" s="7">
        <f t="shared" ref="B7:B33" si="0">+B6+1</f>
        <v>3</v>
      </c>
      <c r="C7" s="18">
        <v>174</v>
      </c>
      <c r="D7" s="151" t="s">
        <v>155</v>
      </c>
      <c r="E7" s="53"/>
    </row>
    <row r="8" spans="2:8" ht="20.45" customHeight="1" x14ac:dyDescent="0.25">
      <c r="B8" s="7">
        <f t="shared" si="0"/>
        <v>4</v>
      </c>
      <c r="C8" s="18">
        <v>174</v>
      </c>
      <c r="D8" s="151" t="s">
        <v>155</v>
      </c>
      <c r="E8" s="53"/>
    </row>
    <row r="9" spans="2:8" ht="20.45" customHeight="1" x14ac:dyDescent="0.25">
      <c r="B9" s="7">
        <f t="shared" si="0"/>
        <v>5</v>
      </c>
      <c r="C9" s="18">
        <v>174</v>
      </c>
      <c r="D9" s="151" t="s">
        <v>155</v>
      </c>
      <c r="E9" s="53"/>
    </row>
    <row r="10" spans="2:8" ht="20.45" customHeight="1" x14ac:dyDescent="0.25">
      <c r="B10" s="7">
        <f t="shared" si="0"/>
        <v>6</v>
      </c>
      <c r="C10" s="18">
        <v>174</v>
      </c>
      <c r="D10" s="151" t="s">
        <v>155</v>
      </c>
      <c r="E10" s="53"/>
    </row>
    <row r="11" spans="2:8" ht="20.45" customHeight="1" x14ac:dyDescent="0.25">
      <c r="B11" s="7">
        <f t="shared" si="0"/>
        <v>7</v>
      </c>
      <c r="C11" s="18">
        <v>174</v>
      </c>
      <c r="D11" s="151" t="s">
        <v>155</v>
      </c>
      <c r="E11" s="53"/>
    </row>
    <row r="12" spans="2:8" ht="20.45" customHeight="1" x14ac:dyDescent="0.25">
      <c r="B12" s="7">
        <f t="shared" si="0"/>
        <v>8</v>
      </c>
      <c r="C12" s="18">
        <v>174</v>
      </c>
      <c r="D12" s="151" t="s">
        <v>155</v>
      </c>
      <c r="E12" s="53"/>
    </row>
    <row r="13" spans="2:8" ht="20.45" customHeight="1" x14ac:dyDescent="0.25">
      <c r="B13" s="7">
        <f t="shared" si="0"/>
        <v>9</v>
      </c>
      <c r="C13" s="18">
        <v>174</v>
      </c>
      <c r="D13" s="151" t="s">
        <v>156</v>
      </c>
      <c r="E13" s="53"/>
    </row>
    <row r="14" spans="2:8" ht="20.45" customHeight="1" x14ac:dyDescent="0.25">
      <c r="B14" s="7">
        <f t="shared" si="0"/>
        <v>10</v>
      </c>
      <c r="C14" s="18">
        <v>174</v>
      </c>
      <c r="D14" s="151" t="s">
        <v>156</v>
      </c>
      <c r="E14" s="53"/>
    </row>
    <row r="15" spans="2:8" ht="20.45" customHeight="1" x14ac:dyDescent="0.25">
      <c r="B15" s="7">
        <f t="shared" si="0"/>
        <v>11</v>
      </c>
      <c r="C15" s="18">
        <v>175</v>
      </c>
      <c r="D15" s="151" t="s">
        <v>157</v>
      </c>
      <c r="E15" s="54"/>
    </row>
    <row r="16" spans="2:8" ht="20.45" customHeight="1" x14ac:dyDescent="0.25">
      <c r="B16" s="7">
        <f t="shared" si="0"/>
        <v>12</v>
      </c>
      <c r="C16" s="18">
        <v>175</v>
      </c>
      <c r="D16" s="151" t="s">
        <v>157</v>
      </c>
      <c r="E16" s="54"/>
    </row>
    <row r="17" spans="2:5" ht="20.45" customHeight="1" x14ac:dyDescent="0.25">
      <c r="B17" s="7">
        <f t="shared" si="0"/>
        <v>13</v>
      </c>
      <c r="C17" s="18">
        <v>175</v>
      </c>
      <c r="D17" s="151" t="s">
        <v>157</v>
      </c>
      <c r="E17" s="53"/>
    </row>
    <row r="18" spans="2:5" ht="20.45" customHeight="1" x14ac:dyDescent="0.25">
      <c r="B18" s="7">
        <f t="shared" si="0"/>
        <v>14</v>
      </c>
      <c r="C18" s="18">
        <v>175</v>
      </c>
      <c r="D18" s="151" t="s">
        <v>157</v>
      </c>
      <c r="E18" s="53"/>
    </row>
    <row r="19" spans="2:5" ht="20.45" customHeight="1" x14ac:dyDescent="0.25">
      <c r="B19" s="7">
        <f t="shared" si="0"/>
        <v>15</v>
      </c>
      <c r="C19" s="18">
        <v>175</v>
      </c>
      <c r="D19" s="151" t="s">
        <v>157</v>
      </c>
      <c r="E19" s="53"/>
    </row>
    <row r="20" spans="2:5" ht="20.45" customHeight="1" x14ac:dyDescent="0.25">
      <c r="B20" s="7">
        <f t="shared" si="0"/>
        <v>16</v>
      </c>
      <c r="C20" s="18">
        <v>175</v>
      </c>
      <c r="D20" s="151" t="s">
        <v>157</v>
      </c>
      <c r="E20" s="53"/>
    </row>
    <row r="21" spans="2:5" ht="20.45" customHeight="1" x14ac:dyDescent="0.25">
      <c r="B21" s="7">
        <f t="shared" si="0"/>
        <v>17</v>
      </c>
      <c r="C21" s="18">
        <v>175</v>
      </c>
      <c r="D21" s="151" t="s">
        <v>157</v>
      </c>
      <c r="E21" s="53"/>
    </row>
    <row r="22" spans="2:5" ht="20.45" customHeight="1" x14ac:dyDescent="0.25">
      <c r="B22" s="7">
        <f t="shared" si="0"/>
        <v>18</v>
      </c>
      <c r="C22" s="18">
        <v>175</v>
      </c>
      <c r="D22" s="151" t="s">
        <v>157</v>
      </c>
      <c r="E22" s="53"/>
    </row>
    <row r="23" spans="2:5" ht="20.45" customHeight="1" x14ac:dyDescent="0.25">
      <c r="B23" s="7">
        <f t="shared" si="0"/>
        <v>19</v>
      </c>
      <c r="C23" s="18">
        <v>175</v>
      </c>
      <c r="D23" s="151" t="s">
        <v>157</v>
      </c>
      <c r="E23" s="53"/>
    </row>
    <row r="24" spans="2:5" ht="20.45" customHeight="1" x14ac:dyDescent="0.25">
      <c r="B24" s="7">
        <f t="shared" si="0"/>
        <v>20</v>
      </c>
      <c r="C24" s="18">
        <v>175</v>
      </c>
      <c r="D24" s="151" t="s">
        <v>158</v>
      </c>
      <c r="E24" s="53"/>
    </row>
    <row r="25" spans="2:5" ht="20.45" customHeight="1" x14ac:dyDescent="0.25">
      <c r="B25" s="7">
        <f t="shared" si="0"/>
        <v>21</v>
      </c>
      <c r="C25" s="18">
        <v>175</v>
      </c>
      <c r="D25" s="151" t="s">
        <v>158</v>
      </c>
      <c r="E25" s="53"/>
    </row>
    <row r="26" spans="2:5" ht="20.45" customHeight="1" x14ac:dyDescent="0.25">
      <c r="B26" s="7">
        <f t="shared" si="0"/>
        <v>22</v>
      </c>
      <c r="C26" s="18">
        <v>175</v>
      </c>
      <c r="D26" s="151" t="s">
        <v>157</v>
      </c>
      <c r="E26" s="53"/>
    </row>
    <row r="27" spans="2:5" ht="20.45" customHeight="1" x14ac:dyDescent="0.25">
      <c r="B27" s="7">
        <f t="shared" si="0"/>
        <v>23</v>
      </c>
      <c r="C27" s="18">
        <v>175</v>
      </c>
      <c r="D27" s="151" t="s">
        <v>157</v>
      </c>
      <c r="E27" s="53"/>
    </row>
    <row r="28" spans="2:5" ht="20.45" customHeight="1" x14ac:dyDescent="0.25">
      <c r="B28" s="7">
        <f t="shared" si="0"/>
        <v>24</v>
      </c>
      <c r="C28" s="18">
        <v>175</v>
      </c>
      <c r="D28" s="151" t="s">
        <v>158</v>
      </c>
      <c r="E28" s="53"/>
    </row>
    <row r="29" spans="2:5" ht="20.45" customHeight="1" x14ac:dyDescent="0.25">
      <c r="B29" s="7">
        <f t="shared" si="0"/>
        <v>25</v>
      </c>
      <c r="C29" s="18">
        <v>175</v>
      </c>
      <c r="D29" s="151" t="s">
        <v>157</v>
      </c>
      <c r="E29" s="53"/>
    </row>
    <row r="30" spans="2:5" ht="20.45" customHeight="1" x14ac:dyDescent="0.25">
      <c r="B30" s="7">
        <f t="shared" si="0"/>
        <v>26</v>
      </c>
      <c r="C30" s="18">
        <v>175</v>
      </c>
      <c r="D30" s="151" t="s">
        <v>158</v>
      </c>
      <c r="E30" s="53"/>
    </row>
    <row r="31" spans="2:5" ht="20.45" customHeight="1" x14ac:dyDescent="0.25">
      <c r="B31" s="7">
        <f t="shared" si="0"/>
        <v>27</v>
      </c>
      <c r="C31" s="18">
        <v>175</v>
      </c>
      <c r="D31" s="151" t="s">
        <v>157</v>
      </c>
      <c r="E31" s="53"/>
    </row>
    <row r="32" spans="2:5" ht="20.45" customHeight="1" x14ac:dyDescent="0.25">
      <c r="B32" s="7">
        <f t="shared" si="0"/>
        <v>28</v>
      </c>
      <c r="C32" s="18">
        <v>175</v>
      </c>
      <c r="D32" s="151" t="s">
        <v>158</v>
      </c>
      <c r="E32" s="53"/>
    </row>
    <row r="33" spans="2:5" ht="20.45" customHeight="1" x14ac:dyDescent="0.25">
      <c r="B33" s="7">
        <f t="shared" si="0"/>
        <v>29</v>
      </c>
      <c r="C33" s="18">
        <v>175</v>
      </c>
      <c r="D33" s="151" t="s">
        <v>158</v>
      </c>
      <c r="E33" s="53"/>
    </row>
    <row r="34" spans="2:5" ht="20.45" customHeight="1" thickBot="1" x14ac:dyDescent="0.3">
      <c r="B34" s="8">
        <f>+B33+1</f>
        <v>30</v>
      </c>
      <c r="C34" s="18">
        <v>175</v>
      </c>
      <c r="D34" s="152" t="s">
        <v>158</v>
      </c>
      <c r="E34" s="55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3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222"/>
      <c r="C2" s="223"/>
      <c r="D2" s="224"/>
      <c r="E2" s="56" t="s">
        <v>4</v>
      </c>
    </row>
    <row r="3" spans="2:8" ht="18" customHeight="1" thickBot="1" x14ac:dyDescent="0.3">
      <c r="B3" s="225"/>
      <c r="C3" s="226"/>
      <c r="D3" s="227"/>
      <c r="E3" s="57" t="s">
        <v>101</v>
      </c>
    </row>
    <row r="4" spans="2:8" ht="15.75" thickBot="1" x14ac:dyDescent="0.3">
      <c r="B4" s="3" t="s">
        <v>42</v>
      </c>
      <c r="C4" s="3" t="s">
        <v>1</v>
      </c>
      <c r="D4" s="149" t="s">
        <v>14</v>
      </c>
      <c r="E4" s="5" t="s">
        <v>43</v>
      </c>
      <c r="F4" s="1"/>
      <c r="G4" s="1"/>
      <c r="H4" s="1"/>
    </row>
    <row r="5" spans="2:8" ht="20.45" customHeight="1" x14ac:dyDescent="0.25">
      <c r="B5" s="6">
        <v>31</v>
      </c>
      <c r="C5" s="18">
        <v>175</v>
      </c>
      <c r="D5" s="150" t="s">
        <v>157</v>
      </c>
      <c r="E5" s="52"/>
    </row>
    <row r="6" spans="2:8" ht="20.45" customHeight="1" x14ac:dyDescent="0.25">
      <c r="B6" s="7">
        <f>+B5+1</f>
        <v>32</v>
      </c>
      <c r="C6" s="18">
        <v>175</v>
      </c>
      <c r="D6" s="151" t="s">
        <v>157</v>
      </c>
      <c r="E6" s="53"/>
    </row>
    <row r="7" spans="2:8" ht="20.45" customHeight="1" x14ac:dyDescent="0.25">
      <c r="B7" s="7">
        <f t="shared" ref="B7:B33" si="0">+B6+1</f>
        <v>33</v>
      </c>
      <c r="C7" s="18">
        <v>175</v>
      </c>
      <c r="D7" s="151" t="s">
        <v>157</v>
      </c>
      <c r="E7" s="53"/>
    </row>
    <row r="8" spans="2:8" ht="20.45" customHeight="1" x14ac:dyDescent="0.25">
      <c r="B8" s="7">
        <f t="shared" si="0"/>
        <v>34</v>
      </c>
      <c r="C8" s="18">
        <v>175</v>
      </c>
      <c r="D8" s="151" t="s">
        <v>157</v>
      </c>
      <c r="E8" s="53"/>
    </row>
    <row r="9" spans="2:8" ht="20.45" customHeight="1" x14ac:dyDescent="0.25">
      <c r="B9" s="7">
        <f t="shared" si="0"/>
        <v>35</v>
      </c>
      <c r="C9" s="18">
        <v>175</v>
      </c>
      <c r="D9" s="151" t="s">
        <v>157</v>
      </c>
      <c r="E9" s="53"/>
    </row>
    <row r="10" spans="2:8" ht="20.45" customHeight="1" x14ac:dyDescent="0.25">
      <c r="B10" s="7">
        <f t="shared" si="0"/>
        <v>36</v>
      </c>
      <c r="C10" s="18">
        <v>175</v>
      </c>
      <c r="D10" s="151" t="s">
        <v>157</v>
      </c>
      <c r="E10" s="53"/>
    </row>
    <row r="11" spans="2:8" ht="20.45" customHeight="1" x14ac:dyDescent="0.25">
      <c r="B11" s="7">
        <f t="shared" si="0"/>
        <v>37</v>
      </c>
      <c r="C11" s="18">
        <v>175</v>
      </c>
      <c r="D11" s="151" t="s">
        <v>158</v>
      </c>
      <c r="E11" s="53"/>
    </row>
    <row r="12" spans="2:8" ht="20.45" customHeight="1" x14ac:dyDescent="0.25">
      <c r="B12" s="7">
        <f t="shared" si="0"/>
        <v>38</v>
      </c>
      <c r="C12" s="18">
        <v>175</v>
      </c>
      <c r="D12" s="151" t="s">
        <v>157</v>
      </c>
      <c r="E12" s="53"/>
    </row>
    <row r="13" spans="2:8" ht="20.45" customHeight="1" x14ac:dyDescent="0.25">
      <c r="B13" s="7">
        <f t="shared" si="0"/>
        <v>39</v>
      </c>
      <c r="C13" s="18">
        <v>175</v>
      </c>
      <c r="D13" s="151" t="s">
        <v>157</v>
      </c>
      <c r="E13" s="53"/>
    </row>
    <row r="14" spans="2:8" ht="20.45" customHeight="1" x14ac:dyDescent="0.25">
      <c r="B14" s="7">
        <f t="shared" si="0"/>
        <v>40</v>
      </c>
      <c r="C14" s="18">
        <v>175</v>
      </c>
      <c r="D14" s="151" t="s">
        <v>157</v>
      </c>
      <c r="E14" s="53"/>
    </row>
    <row r="15" spans="2:8" ht="20.45" customHeight="1" x14ac:dyDescent="0.25">
      <c r="B15" s="7">
        <f t="shared" si="0"/>
        <v>41</v>
      </c>
      <c r="C15" s="18">
        <v>175</v>
      </c>
      <c r="D15" s="151" t="s">
        <v>158</v>
      </c>
      <c r="E15" s="54"/>
    </row>
    <row r="16" spans="2:8" ht="20.45" customHeight="1" x14ac:dyDescent="0.25">
      <c r="B16" s="7">
        <f t="shared" si="0"/>
        <v>42</v>
      </c>
      <c r="C16" s="18">
        <v>175</v>
      </c>
      <c r="D16" s="151" t="s">
        <v>158</v>
      </c>
      <c r="E16" s="54"/>
    </row>
    <row r="17" spans="2:5" ht="20.45" customHeight="1" x14ac:dyDescent="0.25">
      <c r="B17" s="7">
        <f t="shared" si="0"/>
        <v>43</v>
      </c>
      <c r="C17" s="18">
        <v>175</v>
      </c>
      <c r="D17" s="151" t="s">
        <v>157</v>
      </c>
      <c r="E17" s="53"/>
    </row>
    <row r="18" spans="2:5" ht="20.45" customHeight="1" x14ac:dyDescent="0.25">
      <c r="B18" s="7">
        <f t="shared" si="0"/>
        <v>44</v>
      </c>
      <c r="C18" s="18">
        <v>175</v>
      </c>
      <c r="D18" s="151" t="s">
        <v>157</v>
      </c>
      <c r="E18" s="53"/>
    </row>
    <row r="19" spans="2:5" ht="20.45" customHeight="1" x14ac:dyDescent="0.25">
      <c r="B19" s="7">
        <f t="shared" si="0"/>
        <v>45</v>
      </c>
      <c r="C19" s="18">
        <v>175</v>
      </c>
      <c r="D19" s="151" t="s">
        <v>157</v>
      </c>
      <c r="E19" s="53"/>
    </row>
    <row r="20" spans="2:5" ht="20.45" customHeight="1" x14ac:dyDescent="0.25">
      <c r="B20" s="7">
        <f t="shared" si="0"/>
        <v>46</v>
      </c>
      <c r="C20" s="18"/>
      <c r="D20" s="16"/>
      <c r="E20" s="53"/>
    </row>
    <row r="21" spans="2:5" ht="20.45" customHeight="1" x14ac:dyDescent="0.25">
      <c r="B21" s="7">
        <f t="shared" si="0"/>
        <v>47</v>
      </c>
      <c r="C21" s="18"/>
      <c r="D21" s="16"/>
      <c r="E21" s="53"/>
    </row>
    <row r="22" spans="2:5" ht="20.45" customHeight="1" x14ac:dyDescent="0.25">
      <c r="B22" s="7">
        <f t="shared" si="0"/>
        <v>48</v>
      </c>
      <c r="C22" s="18"/>
      <c r="D22" s="16"/>
      <c r="E22" s="53"/>
    </row>
    <row r="23" spans="2:5" ht="20.45" customHeight="1" x14ac:dyDescent="0.25">
      <c r="B23" s="7">
        <f t="shared" si="0"/>
        <v>49</v>
      </c>
      <c r="C23" s="18"/>
      <c r="D23" s="16"/>
      <c r="E23" s="53"/>
    </row>
    <row r="24" spans="2:5" ht="20.45" customHeight="1" x14ac:dyDescent="0.25">
      <c r="B24" s="7">
        <f t="shared" si="0"/>
        <v>50</v>
      </c>
      <c r="C24" s="15"/>
      <c r="D24" s="16"/>
      <c r="E24" s="53"/>
    </row>
    <row r="25" spans="2:5" ht="20.45" customHeight="1" x14ac:dyDescent="0.25">
      <c r="B25" s="7">
        <f t="shared" si="0"/>
        <v>51</v>
      </c>
      <c r="C25" s="15"/>
      <c r="D25" s="16"/>
      <c r="E25" s="53"/>
    </row>
    <row r="26" spans="2:5" ht="20.45" customHeight="1" x14ac:dyDescent="0.25">
      <c r="B26" s="7">
        <f t="shared" si="0"/>
        <v>52</v>
      </c>
      <c r="C26" s="15"/>
      <c r="D26" s="16"/>
      <c r="E26" s="53"/>
    </row>
    <row r="27" spans="2:5" ht="20.45" customHeight="1" x14ac:dyDescent="0.25">
      <c r="B27" s="7">
        <f t="shared" si="0"/>
        <v>53</v>
      </c>
      <c r="C27" s="15"/>
      <c r="D27" s="16"/>
      <c r="E27" s="53"/>
    </row>
    <row r="28" spans="2:5" ht="20.45" customHeight="1" x14ac:dyDescent="0.25">
      <c r="B28" s="7">
        <f t="shared" si="0"/>
        <v>54</v>
      </c>
      <c r="C28" s="15"/>
      <c r="D28" s="16"/>
      <c r="E28" s="53"/>
    </row>
    <row r="29" spans="2:5" ht="20.45" customHeight="1" x14ac:dyDescent="0.25">
      <c r="B29" s="7">
        <f t="shared" si="0"/>
        <v>55</v>
      </c>
      <c r="C29" s="15"/>
      <c r="D29" s="16"/>
      <c r="E29" s="53"/>
    </row>
    <row r="30" spans="2:5" ht="20.45" customHeight="1" x14ac:dyDescent="0.25">
      <c r="B30" s="7">
        <f t="shared" si="0"/>
        <v>56</v>
      </c>
      <c r="C30" s="15"/>
      <c r="D30" s="16"/>
      <c r="E30" s="53"/>
    </row>
    <row r="31" spans="2:5" ht="20.45" customHeight="1" x14ac:dyDescent="0.25">
      <c r="B31" s="7">
        <f t="shared" si="0"/>
        <v>57</v>
      </c>
      <c r="C31" s="15"/>
      <c r="D31" s="16"/>
      <c r="E31" s="53"/>
    </row>
    <row r="32" spans="2:5" ht="20.45" customHeight="1" x14ac:dyDescent="0.25">
      <c r="B32" s="7">
        <f t="shared" si="0"/>
        <v>58</v>
      </c>
      <c r="C32" s="15"/>
      <c r="D32" s="16"/>
      <c r="E32" s="53"/>
    </row>
    <row r="33" spans="2:5" ht="20.45" customHeight="1" x14ac:dyDescent="0.25">
      <c r="B33" s="7">
        <f t="shared" si="0"/>
        <v>59</v>
      </c>
      <c r="C33" s="15"/>
      <c r="D33" s="16"/>
      <c r="E33" s="53"/>
    </row>
    <row r="34" spans="2:5" ht="20.45" customHeight="1" thickBot="1" x14ac:dyDescent="0.3">
      <c r="B34" s="8">
        <f>+B33+1</f>
        <v>60</v>
      </c>
      <c r="C34" s="17"/>
      <c r="D34" s="105"/>
      <c r="E34" s="55"/>
    </row>
    <row r="35" spans="2:5" ht="20.45" customHeight="1" x14ac:dyDescent="0.25"/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tabSelected="1" view="pageBreakPreview" zoomScale="60" zoomScaleNormal="100" workbookViewId="0">
      <selection activeCell="F16" sqref="F16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8" bestFit="1" customWidth="1"/>
    <col min="7" max="8" width="14.42578125" bestFit="1" customWidth="1"/>
  </cols>
  <sheetData>
    <row r="1" spans="2:6" x14ac:dyDescent="0.25">
      <c r="C1" s="32" t="s">
        <v>46</v>
      </c>
      <c r="D1" s="33">
        <v>46147</v>
      </c>
    </row>
    <row r="2" spans="2:6" x14ac:dyDescent="0.25">
      <c r="C2" s="34" t="s">
        <v>47</v>
      </c>
      <c r="D2" s="31">
        <v>174</v>
      </c>
    </row>
    <row r="3" spans="2:6" x14ac:dyDescent="0.25">
      <c r="C3" s="35" t="s">
        <v>51</v>
      </c>
      <c r="D3" s="36"/>
    </row>
    <row r="4" spans="2:6" ht="15.75" x14ac:dyDescent="0.25">
      <c r="B4" s="37" t="s">
        <v>16</v>
      </c>
      <c r="C4" s="37" t="s">
        <v>15</v>
      </c>
      <c r="D4" s="37" t="s">
        <v>17</v>
      </c>
      <c r="E4" s="38" t="s">
        <v>18</v>
      </c>
      <c r="F4" s="39" t="s">
        <v>19</v>
      </c>
    </row>
    <row r="5" spans="2:6" ht="26.1" customHeight="1" x14ac:dyDescent="0.25">
      <c r="B5" s="231" t="s">
        <v>102</v>
      </c>
      <c r="C5" s="40" t="s">
        <v>20</v>
      </c>
      <c r="D5" s="29">
        <v>19.2</v>
      </c>
      <c r="E5" s="41">
        <v>18.920000000000002</v>
      </c>
      <c r="F5" s="42">
        <v>1</v>
      </c>
    </row>
    <row r="6" spans="2:6" ht="26.1" customHeight="1" x14ac:dyDescent="0.25">
      <c r="B6" s="232"/>
      <c r="C6" s="40" t="s">
        <v>7</v>
      </c>
      <c r="D6" s="29">
        <v>10</v>
      </c>
      <c r="E6" s="41">
        <v>17.14</v>
      </c>
      <c r="F6" s="42">
        <v>1</v>
      </c>
    </row>
    <row r="7" spans="2:6" ht="26.1" customHeight="1" x14ac:dyDescent="0.25">
      <c r="B7" s="232"/>
      <c r="C7" s="40" t="s">
        <v>6</v>
      </c>
      <c r="D7" s="29">
        <v>10</v>
      </c>
      <c r="E7" s="41">
        <f>23.04+26.36</f>
        <v>49.4</v>
      </c>
      <c r="F7" s="42">
        <v>2</v>
      </c>
    </row>
    <row r="8" spans="2:6" ht="26.1" customHeight="1" x14ac:dyDescent="0.25">
      <c r="B8" s="232"/>
      <c r="C8" s="40" t="s">
        <v>10</v>
      </c>
      <c r="D8" s="29">
        <v>10</v>
      </c>
      <c r="E8" s="41">
        <v>11.6</v>
      </c>
      <c r="F8" s="42">
        <v>1</v>
      </c>
    </row>
    <row r="9" spans="2:6" ht="26.1" customHeight="1" x14ac:dyDescent="0.25">
      <c r="B9" s="232"/>
      <c r="C9" s="40" t="s">
        <v>21</v>
      </c>
      <c r="D9" s="29">
        <v>7.52</v>
      </c>
      <c r="E9" s="41">
        <v>7.08</v>
      </c>
      <c r="F9" s="42">
        <v>1</v>
      </c>
    </row>
    <row r="10" spans="2:6" ht="26.1" customHeight="1" x14ac:dyDescent="0.25">
      <c r="B10" s="232"/>
      <c r="C10" s="40" t="s">
        <v>5</v>
      </c>
      <c r="D10" s="29">
        <v>20</v>
      </c>
      <c r="E10" s="41">
        <v>9.9</v>
      </c>
      <c r="F10" s="42">
        <v>1</v>
      </c>
    </row>
    <row r="11" spans="2:6" ht="26.1" customHeight="1" x14ac:dyDescent="0.25">
      <c r="B11" s="232"/>
      <c r="C11" s="40" t="s">
        <v>22</v>
      </c>
      <c r="D11" s="29">
        <v>40</v>
      </c>
      <c r="E11" s="41">
        <v>7.3</v>
      </c>
      <c r="F11" s="42">
        <v>1</v>
      </c>
    </row>
    <row r="12" spans="2:6" ht="26.1" customHeight="1" x14ac:dyDescent="0.25">
      <c r="B12" s="232"/>
      <c r="C12" s="40" t="s">
        <v>8</v>
      </c>
      <c r="D12" s="29">
        <v>10</v>
      </c>
      <c r="E12" s="41">
        <v>10.68</v>
      </c>
      <c r="F12" s="42">
        <v>1</v>
      </c>
    </row>
    <row r="13" spans="2:6" ht="26.1" customHeight="1" x14ac:dyDescent="0.25">
      <c r="B13" s="232"/>
      <c r="C13" s="40" t="s">
        <v>23</v>
      </c>
      <c r="D13" s="29">
        <v>10</v>
      </c>
      <c r="E13" s="41">
        <v>8.52</v>
      </c>
      <c r="F13" s="42">
        <v>1</v>
      </c>
    </row>
    <row r="14" spans="2:6" ht="26.1" customHeight="1" x14ac:dyDescent="0.25">
      <c r="B14" s="232"/>
      <c r="C14" s="40" t="s">
        <v>36</v>
      </c>
      <c r="D14" s="29">
        <v>14.28</v>
      </c>
      <c r="E14" s="41">
        <v>13.4</v>
      </c>
      <c r="F14" s="42">
        <v>1</v>
      </c>
    </row>
    <row r="15" spans="2:6" ht="26.1" customHeight="1" x14ac:dyDescent="0.25">
      <c r="B15" s="232"/>
      <c r="C15" s="40" t="s">
        <v>9</v>
      </c>
      <c r="D15" s="29">
        <v>10</v>
      </c>
      <c r="E15" s="41">
        <v>10.78</v>
      </c>
      <c r="F15" s="42">
        <v>1</v>
      </c>
    </row>
    <row r="16" spans="2:6" ht="26.1" customHeight="1" x14ac:dyDescent="0.25">
      <c r="B16" s="232"/>
      <c r="C16" s="40" t="s">
        <v>24</v>
      </c>
      <c r="D16" s="29">
        <v>10</v>
      </c>
      <c r="E16" s="41">
        <v>3.26</v>
      </c>
      <c r="F16" s="42">
        <v>1</v>
      </c>
    </row>
    <row r="17" spans="2:9" ht="26.1" customHeight="1" x14ac:dyDescent="0.25">
      <c r="B17" s="233"/>
      <c r="C17" s="40" t="s">
        <v>37</v>
      </c>
      <c r="D17" s="29">
        <v>4.78</v>
      </c>
      <c r="E17" s="41">
        <v>4.72</v>
      </c>
      <c r="F17" s="42">
        <v>1</v>
      </c>
    </row>
    <row r="18" spans="2:9" x14ac:dyDescent="0.25">
      <c r="C18" s="27"/>
      <c r="D18" s="43" t="s">
        <v>11</v>
      </c>
      <c r="E18" s="43">
        <f>SUM(E5:E17)</f>
        <v>172.70000000000002</v>
      </c>
      <c r="F18" s="43">
        <f>SUM(F5:F17)</f>
        <v>14</v>
      </c>
    </row>
    <row r="19" spans="2:9" ht="15.75" thickBot="1" x14ac:dyDescent="0.3"/>
    <row r="20" spans="2:9" ht="15.75" thickBot="1" x14ac:dyDescent="0.3">
      <c r="B20" s="229" t="s">
        <v>41</v>
      </c>
      <c r="C20" s="230"/>
      <c r="D20" s="230"/>
      <c r="E20" s="230"/>
      <c r="F20" s="230"/>
    </row>
    <row r="21" spans="2:9" ht="26.1" customHeight="1" x14ac:dyDescent="0.25">
      <c r="B21" s="24" t="s">
        <v>38</v>
      </c>
      <c r="C21" s="19"/>
      <c r="D21" s="20"/>
      <c r="E21" s="20"/>
      <c r="F21" s="47"/>
    </row>
    <row r="22" spans="2:9" ht="26.1" customHeight="1" thickBot="1" x14ac:dyDescent="0.3">
      <c r="B22" s="26" t="s">
        <v>40</v>
      </c>
      <c r="C22" s="10">
        <v>0.98</v>
      </c>
      <c r="D22" s="12"/>
      <c r="E22" s="12"/>
      <c r="F22" s="49"/>
    </row>
    <row r="24" spans="2:9" ht="15.75" x14ac:dyDescent="0.25">
      <c r="B24" s="228" t="s">
        <v>78</v>
      </c>
      <c r="C24" s="228"/>
      <c r="D24" s="228"/>
      <c r="E24" s="228"/>
      <c r="F24" s="228"/>
      <c r="G24" s="228"/>
      <c r="H24" s="228"/>
      <c r="I24" s="228"/>
    </row>
    <row r="25" spans="2:9" ht="26.1" customHeight="1" x14ac:dyDescent="0.25">
      <c r="B25" s="117" t="s">
        <v>79</v>
      </c>
      <c r="C25" s="117" t="s">
        <v>16</v>
      </c>
      <c r="D25" s="117" t="s">
        <v>19</v>
      </c>
      <c r="E25" s="117" t="s">
        <v>80</v>
      </c>
      <c r="F25" s="117" t="s">
        <v>81</v>
      </c>
      <c r="G25" s="117" t="s">
        <v>82</v>
      </c>
      <c r="H25" s="117" t="s">
        <v>83</v>
      </c>
      <c r="I25" s="117" t="s">
        <v>1</v>
      </c>
    </row>
    <row r="26" spans="2:9" ht="26.1" customHeight="1" x14ac:dyDescent="0.25">
      <c r="B26" s="113"/>
      <c r="C26" s="113"/>
      <c r="D26" s="113"/>
      <c r="E26" s="113"/>
      <c r="F26" s="114">
        <v>46097</v>
      </c>
      <c r="G26" s="114">
        <f>+F26+1</f>
        <v>46098</v>
      </c>
      <c r="H26" s="114">
        <f>+F26+5</f>
        <v>46102</v>
      </c>
      <c r="I26" s="113"/>
    </row>
    <row r="27" spans="2:9" ht="26.1" customHeight="1" x14ac:dyDescent="0.25">
      <c r="B27" s="113"/>
      <c r="C27" s="113"/>
      <c r="D27" s="115"/>
      <c r="E27" s="116"/>
      <c r="F27" s="114">
        <v>46098</v>
      </c>
      <c r="G27" s="114">
        <f t="shared" ref="G27:G30" si="0">+F27+1</f>
        <v>46099</v>
      </c>
      <c r="H27" s="114">
        <f t="shared" ref="H27:H30" si="1">+F27+5</f>
        <v>46103</v>
      </c>
      <c r="I27" s="113"/>
    </row>
    <row r="28" spans="2:9" ht="26.1" customHeight="1" x14ac:dyDescent="0.25">
      <c r="B28" s="113"/>
      <c r="C28" s="113"/>
      <c r="D28" s="115"/>
      <c r="E28" s="115"/>
      <c r="F28" s="114">
        <v>46099</v>
      </c>
      <c r="G28" s="114">
        <f t="shared" si="0"/>
        <v>46100</v>
      </c>
      <c r="H28" s="114">
        <f t="shared" si="1"/>
        <v>46104</v>
      </c>
      <c r="I28" s="113"/>
    </row>
    <row r="29" spans="2:9" ht="26.1" customHeight="1" x14ac:dyDescent="0.25">
      <c r="B29" s="113"/>
      <c r="C29" s="113"/>
      <c r="D29" s="115"/>
      <c r="E29" s="116"/>
      <c r="F29" s="114">
        <v>46100</v>
      </c>
      <c r="G29" s="114">
        <f t="shared" si="0"/>
        <v>46101</v>
      </c>
      <c r="H29" s="114">
        <f t="shared" si="1"/>
        <v>46105</v>
      </c>
      <c r="I29" s="113"/>
    </row>
    <row r="30" spans="2:9" ht="26.1" customHeight="1" x14ac:dyDescent="0.25">
      <c r="B30" s="113"/>
      <c r="C30" s="113"/>
      <c r="D30" s="113"/>
      <c r="E30" s="113"/>
      <c r="F30" s="114">
        <v>46101</v>
      </c>
      <c r="G30" s="114">
        <f t="shared" si="0"/>
        <v>46102</v>
      </c>
      <c r="H30" s="114">
        <f t="shared" si="1"/>
        <v>46106</v>
      </c>
      <c r="I30" s="113"/>
    </row>
  </sheetData>
  <mergeCells count="3">
    <mergeCell ref="B24:I24"/>
    <mergeCell ref="B20:F20"/>
    <mergeCell ref="B5:B17"/>
  </mergeCells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28"/>
  <sheetViews>
    <sheetView view="pageBreakPreview" zoomScale="60" zoomScaleNormal="100" workbookViewId="0">
      <selection activeCell="F23" sqref="F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25.28515625" bestFit="1" customWidth="1"/>
    <col min="5" max="5" width="69.42578125" customWidth="1"/>
    <col min="6" max="6" width="11.42578125" style="28"/>
  </cols>
  <sheetData>
    <row r="1" spans="2:6" x14ac:dyDescent="0.25">
      <c r="C1" s="32" t="s">
        <v>46</v>
      </c>
      <c r="D1" s="33">
        <v>46147</v>
      </c>
    </row>
    <row r="2" spans="2:6" x14ac:dyDescent="0.25">
      <c r="C2" s="34" t="s">
        <v>47</v>
      </c>
      <c r="D2" s="31">
        <v>175</v>
      </c>
    </row>
    <row r="3" spans="2:6" x14ac:dyDescent="0.25">
      <c r="C3" s="35" t="s">
        <v>51</v>
      </c>
      <c r="D3" s="36"/>
    </row>
    <row r="4" spans="2:6" ht="15.75" x14ac:dyDescent="0.25">
      <c r="B4" s="37" t="s">
        <v>16</v>
      </c>
      <c r="C4" s="37" t="s">
        <v>15</v>
      </c>
      <c r="D4" s="37" t="s">
        <v>17</v>
      </c>
      <c r="E4" s="38" t="s">
        <v>18</v>
      </c>
      <c r="F4" s="39" t="s">
        <v>19</v>
      </c>
    </row>
    <row r="5" spans="2:6" ht="26.1" customHeight="1" x14ac:dyDescent="0.25">
      <c r="B5" s="231" t="s">
        <v>103</v>
      </c>
      <c r="C5" s="40" t="s">
        <v>20</v>
      </c>
      <c r="D5" s="29">
        <f>21.74+21.26+21.44+20.78+21.84</f>
        <v>107.06</v>
      </c>
      <c r="E5" s="41">
        <f>21.16+21.32+21.6+20.8+17.76</f>
        <v>102.64000000000001</v>
      </c>
      <c r="F5" s="42">
        <v>5</v>
      </c>
    </row>
    <row r="6" spans="2:6" ht="26.1" customHeight="1" x14ac:dyDescent="0.25">
      <c r="B6" s="232"/>
      <c r="C6" s="40" t="s">
        <v>7</v>
      </c>
      <c r="D6" s="29">
        <f>12+12+11</f>
        <v>35</v>
      </c>
      <c r="E6" s="41" t="s">
        <v>160</v>
      </c>
      <c r="F6" s="42">
        <v>2</v>
      </c>
    </row>
    <row r="7" spans="2:6" ht="26.1" customHeight="1" x14ac:dyDescent="0.25">
      <c r="B7" s="232"/>
      <c r="C7" s="40" t="s">
        <v>6</v>
      </c>
      <c r="D7" s="29" t="s">
        <v>159</v>
      </c>
      <c r="E7" s="41">
        <f>24.64+26+23.2+24.42+23+22.38+23.12</f>
        <v>166.76000000000002</v>
      </c>
      <c r="F7" s="42">
        <v>7</v>
      </c>
    </row>
    <row r="8" spans="2:6" ht="26.1" customHeight="1" x14ac:dyDescent="0.25">
      <c r="B8" s="232"/>
      <c r="C8" s="40" t="s">
        <v>10</v>
      </c>
      <c r="D8" s="29">
        <v>35</v>
      </c>
      <c r="E8" s="41">
        <f>23.36+21.86</f>
        <v>45.22</v>
      </c>
      <c r="F8" s="42">
        <v>2</v>
      </c>
    </row>
    <row r="9" spans="2:6" ht="26.1" customHeight="1" x14ac:dyDescent="0.25">
      <c r="B9" s="232"/>
      <c r="C9" s="40" t="s">
        <v>21</v>
      </c>
      <c r="D9" s="29">
        <f>18.58+12.26</f>
        <v>30.839999999999996</v>
      </c>
      <c r="E9" s="41">
        <f>13.94+15.7</f>
        <v>29.64</v>
      </c>
      <c r="F9" s="42">
        <v>2</v>
      </c>
    </row>
    <row r="10" spans="2:6" ht="26.1" customHeight="1" x14ac:dyDescent="0.25">
      <c r="B10" s="232"/>
      <c r="C10" s="40" t="s">
        <v>5</v>
      </c>
      <c r="D10" s="29">
        <v>70</v>
      </c>
      <c r="E10" s="41">
        <f>16.82+16.72</f>
        <v>33.54</v>
      </c>
      <c r="F10" s="42">
        <v>2</v>
      </c>
    </row>
    <row r="11" spans="2:6" ht="26.1" customHeight="1" x14ac:dyDescent="0.25">
      <c r="B11" s="232"/>
      <c r="C11" s="40" t="s">
        <v>22</v>
      </c>
      <c r="D11" s="29">
        <v>140</v>
      </c>
      <c r="E11" s="41">
        <v>26.6</v>
      </c>
      <c r="F11" s="42">
        <v>1</v>
      </c>
    </row>
    <row r="12" spans="2:6" ht="26.1" customHeight="1" x14ac:dyDescent="0.25">
      <c r="B12" s="232"/>
      <c r="C12" s="40" t="s">
        <v>8</v>
      </c>
      <c r="D12" s="29">
        <v>35</v>
      </c>
      <c r="E12" s="41">
        <f>15.14+15.84+11.64</f>
        <v>42.620000000000005</v>
      </c>
      <c r="F12" s="42">
        <v>3</v>
      </c>
    </row>
    <row r="13" spans="2:6" ht="26.1" customHeight="1" x14ac:dyDescent="0.25">
      <c r="B13" s="232"/>
      <c r="C13" s="40" t="s">
        <v>23</v>
      </c>
      <c r="D13" s="29">
        <f>25+10</f>
        <v>35</v>
      </c>
      <c r="E13" s="41">
        <f>18.24+18.14</f>
        <v>36.379999999999995</v>
      </c>
      <c r="F13" s="42">
        <v>2</v>
      </c>
    </row>
    <row r="14" spans="2:6" ht="26.1" customHeight="1" x14ac:dyDescent="0.25">
      <c r="B14" s="232"/>
      <c r="C14" s="40" t="s">
        <v>36</v>
      </c>
      <c r="D14" s="29">
        <f>31.48+25.16</f>
        <v>56.64</v>
      </c>
      <c r="E14" s="41">
        <f>18.6+18.4+16.78</f>
        <v>53.78</v>
      </c>
      <c r="F14" s="42">
        <v>3</v>
      </c>
    </row>
    <row r="15" spans="2:6" ht="26.1" customHeight="1" x14ac:dyDescent="0.25">
      <c r="B15" s="232"/>
      <c r="C15" s="40" t="s">
        <v>9</v>
      </c>
      <c r="D15" s="29">
        <f>18+17</f>
        <v>35</v>
      </c>
      <c r="E15" s="41">
        <f>15.32+14.76+15.14</f>
        <v>45.22</v>
      </c>
      <c r="F15" s="42">
        <v>3</v>
      </c>
    </row>
    <row r="16" spans="2:6" ht="26.1" customHeight="1" x14ac:dyDescent="0.25">
      <c r="B16" s="232"/>
      <c r="C16" s="40" t="s">
        <v>24</v>
      </c>
      <c r="D16" s="29">
        <v>35</v>
      </c>
      <c r="E16" s="41">
        <f>5.96+5.94</f>
        <v>11.9</v>
      </c>
      <c r="F16" s="42">
        <v>2</v>
      </c>
    </row>
    <row r="17" spans="2:6" ht="26.1" customHeight="1" x14ac:dyDescent="0.25">
      <c r="B17" s="233"/>
      <c r="C17" s="40" t="s">
        <v>37</v>
      </c>
      <c r="D17" s="29">
        <v>17.98</v>
      </c>
      <c r="E17" s="41">
        <v>15.3</v>
      </c>
      <c r="F17" s="42">
        <v>1</v>
      </c>
    </row>
    <row r="18" spans="2:6" x14ac:dyDescent="0.25">
      <c r="C18" s="27"/>
      <c r="D18" s="43" t="s">
        <v>11</v>
      </c>
      <c r="E18" s="43">
        <f>SUM(E5:E17)</f>
        <v>609.6</v>
      </c>
      <c r="F18" s="43">
        <f>SUM(F5:F17)</f>
        <v>35</v>
      </c>
    </row>
    <row r="19" spans="2:6" ht="15.75" thickBot="1" x14ac:dyDescent="0.3"/>
    <row r="20" spans="2:6" ht="15.75" thickBot="1" x14ac:dyDescent="0.3">
      <c r="B20" s="229" t="s">
        <v>41</v>
      </c>
      <c r="C20" s="230"/>
      <c r="D20" s="230"/>
      <c r="E20" s="230"/>
      <c r="F20" s="230"/>
    </row>
    <row r="21" spans="2:6" ht="26.1" customHeight="1" x14ac:dyDescent="0.25">
      <c r="B21" s="24" t="s">
        <v>38</v>
      </c>
      <c r="C21" s="19"/>
      <c r="D21" s="20"/>
      <c r="E21" s="20"/>
      <c r="F21" s="44"/>
    </row>
    <row r="22" spans="2:6" ht="26.1" customHeight="1" x14ac:dyDescent="0.25">
      <c r="B22" s="25" t="s">
        <v>48</v>
      </c>
      <c r="C22" s="9">
        <f>21.96+19.6+22.98+22.12+19.7+23.82+19.84+13.18</f>
        <v>163.20000000000002</v>
      </c>
      <c r="D22" s="11"/>
      <c r="E22" s="11">
        <f>20.04+20.06+20.06+20.1+20.1+20.04+20.04+17.7</f>
        <v>158.13999999999996</v>
      </c>
      <c r="F22" s="45">
        <v>8</v>
      </c>
    </row>
    <row r="23" spans="2:6" ht="26.1" customHeight="1" thickBot="1" x14ac:dyDescent="0.3">
      <c r="B23" s="26" t="s">
        <v>40</v>
      </c>
      <c r="C23" s="10">
        <v>6.68</v>
      </c>
      <c r="D23" s="12"/>
      <c r="E23" s="12"/>
      <c r="F23" s="46"/>
    </row>
    <row r="24" spans="2:6" ht="15.75" thickBot="1" x14ac:dyDescent="0.3"/>
    <row r="25" spans="2:6" ht="15.75" thickBot="1" x14ac:dyDescent="0.3">
      <c r="B25" s="234" t="s">
        <v>44</v>
      </c>
      <c r="C25" s="235"/>
      <c r="D25" s="235"/>
      <c r="E25" s="235"/>
      <c r="F25" s="235"/>
    </row>
    <row r="26" spans="2:6" ht="26.1" customHeight="1" x14ac:dyDescent="0.25">
      <c r="B26" s="21" t="s">
        <v>35</v>
      </c>
      <c r="C26" s="19"/>
      <c r="D26" s="20"/>
      <c r="E26" s="20"/>
      <c r="F26" s="47"/>
    </row>
    <row r="27" spans="2:6" ht="26.1" customHeight="1" x14ac:dyDescent="0.25">
      <c r="B27" s="22" t="s">
        <v>38</v>
      </c>
      <c r="C27" s="9"/>
      <c r="D27" s="11"/>
      <c r="E27" s="11"/>
      <c r="F27" s="48"/>
    </row>
    <row r="28" spans="2:6" ht="26.1" customHeight="1" thickBot="1" x14ac:dyDescent="0.3">
      <c r="B28" s="23" t="s">
        <v>39</v>
      </c>
      <c r="C28" s="10"/>
      <c r="D28" s="12"/>
      <c r="E28" s="12"/>
      <c r="F28" s="49"/>
    </row>
  </sheetData>
  <mergeCells count="3">
    <mergeCell ref="B20:F20"/>
    <mergeCell ref="B25:F25"/>
    <mergeCell ref="B5:B17"/>
  </mergeCells>
  <pageMargins left="0.7" right="0.7" top="0.75" bottom="0.75" header="0.3" footer="0.3"/>
  <pageSetup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TROPA 174 </vt:lpstr>
      <vt:lpstr>TROPA 175 </vt:lpstr>
      <vt:lpstr>ROMANEO 1</vt:lpstr>
      <vt:lpstr>ROMANEO (2)</vt:lpstr>
      <vt:lpstr>denticion 1</vt:lpstr>
      <vt:lpstr>denticion(2)</vt:lpstr>
      <vt:lpstr>menudencias (1)</vt:lpstr>
      <vt:lpstr>menudencias (2)</vt:lpstr>
      <vt:lpstr>'menudencias (1)'!Área_de_impresión</vt:lpstr>
      <vt:lpstr>'menudencias (2)'!Área_de_impresión</vt:lpstr>
      <vt:lpstr>'TROPA 174 '!Área_de_impresión</vt:lpstr>
      <vt:lpstr>'TROPA 175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Coordinacion Solemar</cp:lastModifiedBy>
  <cp:lastPrinted>2026-05-06T16:20:51Z</cp:lastPrinted>
  <dcterms:created xsi:type="dcterms:W3CDTF">2025-06-18T19:04:42Z</dcterms:created>
  <dcterms:modified xsi:type="dcterms:W3CDTF">2026-05-06T16:21:36Z</dcterms:modified>
</cp:coreProperties>
</file>