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0" windowWidth="20640" windowHeight="11040" tabRatio="940"/>
  </bookViews>
  <sheets>
    <sheet name="TROPA 173 " sheetId="13" r:id="rId1"/>
    <sheet name="ROMANEO 1" sheetId="1" r:id="rId2"/>
    <sheet name="denticion 1" sheetId="16" r:id="rId3"/>
    <sheet name="menudencias (1)" sheetId="10" r:id="rId4"/>
    <sheet name="Hoja1" sheetId="17" r:id="rId5"/>
  </sheets>
  <definedNames>
    <definedName name="_xlnm.Print_Area" localSheetId="3">'menudencias (1)'!$B$1:$I$30</definedName>
    <definedName name="_xlnm.Print_Area" localSheetId="0">'TROPA 173 '!$B$2:$N$54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9" i="17" l="1"/>
  <c r="L19" i="17" s="1"/>
  <c r="K18" i="17"/>
  <c r="L18" i="17" s="1"/>
  <c r="K17" i="17"/>
  <c r="L17" i="17" s="1"/>
  <c r="K16" i="17"/>
  <c r="L16" i="17" s="1"/>
  <c r="K15" i="17"/>
  <c r="L15" i="17" s="1"/>
  <c r="K14" i="17"/>
  <c r="L14" i="17" s="1"/>
  <c r="K13" i="17"/>
  <c r="L13" i="17" s="1"/>
  <c r="K12" i="17"/>
  <c r="L12" i="17" s="1"/>
  <c r="K11" i="17"/>
  <c r="L11" i="17" s="1"/>
  <c r="K10" i="17"/>
  <c r="L10" i="17" s="1"/>
  <c r="K9" i="17"/>
  <c r="L9" i="17" s="1"/>
  <c r="K8" i="17"/>
  <c r="L8" i="17" s="1"/>
  <c r="K7" i="17"/>
  <c r="L7" i="17" s="1"/>
  <c r="K6" i="17"/>
  <c r="L6" i="17" s="1"/>
  <c r="E27" i="10" l="1"/>
  <c r="E15" i="10"/>
  <c r="E14" i="10"/>
  <c r="E12" i="10"/>
  <c r="E10" i="10"/>
  <c r="E8" i="10"/>
  <c r="E7" i="10"/>
  <c r="E6" i="10"/>
  <c r="E5" i="10"/>
  <c r="E26" i="10" l="1"/>
  <c r="D14" i="10"/>
  <c r="D6" i="10"/>
  <c r="D5" i="10"/>
  <c r="I80" i="13" l="1"/>
  <c r="K71" i="13"/>
  <c r="J71" i="13"/>
  <c r="I71" i="13"/>
  <c r="K53" i="13"/>
  <c r="J53" i="13"/>
  <c r="I53" i="13"/>
  <c r="E17" i="13" s="1"/>
  <c r="D53" i="13"/>
  <c r="H76" i="13" s="1"/>
  <c r="L52" i="13"/>
  <c r="M52" i="13" s="1"/>
  <c r="L51" i="13"/>
  <c r="M51" i="13" s="1"/>
  <c r="L50" i="13"/>
  <c r="M50" i="13" s="1"/>
  <c r="L49" i="13"/>
  <c r="M49" i="13" s="1"/>
  <c r="L48" i="13"/>
  <c r="M48" i="13" s="1"/>
  <c r="L47" i="13"/>
  <c r="M47" i="13" s="1"/>
  <c r="L46" i="13"/>
  <c r="M46" i="13" s="1"/>
  <c r="L45" i="13"/>
  <c r="M45" i="13" s="1"/>
  <c r="L44" i="13"/>
  <c r="M44" i="13" s="1"/>
  <c r="L43" i="13"/>
  <c r="M43" i="13" s="1"/>
  <c r="L42" i="13"/>
  <c r="M42" i="13" s="1"/>
  <c r="L41" i="13"/>
  <c r="M41" i="13" s="1"/>
  <c r="L40" i="13"/>
  <c r="M40" i="13" s="1"/>
  <c r="L39" i="13"/>
  <c r="M39" i="13" s="1"/>
  <c r="L38" i="13"/>
  <c r="M38" i="13" s="1"/>
  <c r="L37" i="13"/>
  <c r="M37" i="13" s="1"/>
  <c r="L36" i="13"/>
  <c r="M36" i="13" s="1"/>
  <c r="L35" i="13"/>
  <c r="M35" i="13" s="1"/>
  <c r="L34" i="13"/>
  <c r="M34" i="13" s="1"/>
  <c r="L33" i="13"/>
  <c r="M33" i="13" s="1"/>
  <c r="L32" i="13"/>
  <c r="M32" i="13" s="1"/>
  <c r="L31" i="13"/>
  <c r="M31" i="13" s="1"/>
  <c r="L30" i="13"/>
  <c r="M30" i="13" s="1"/>
  <c r="L29" i="13"/>
  <c r="M29" i="13" s="1"/>
  <c r="L28" i="13"/>
  <c r="M28" i="13" s="1"/>
  <c r="L27" i="13"/>
  <c r="M27" i="13" s="1"/>
  <c r="L26" i="13"/>
  <c r="M26" i="13" s="1"/>
  <c r="L25" i="13"/>
  <c r="M25" i="13" s="1"/>
  <c r="L20" i="13"/>
  <c r="K20" i="13"/>
  <c r="L19" i="13"/>
  <c r="K19" i="13"/>
  <c r="L18" i="13"/>
  <c r="K18" i="13"/>
  <c r="L17" i="13"/>
  <c r="K17" i="13"/>
  <c r="L16" i="13"/>
  <c r="K16" i="13"/>
  <c r="L15" i="13"/>
  <c r="K15" i="13"/>
  <c r="L53" i="13" l="1"/>
  <c r="H27" i="10"/>
  <c r="H28" i="10"/>
  <c r="H29" i="10"/>
  <c r="H30" i="10"/>
  <c r="G27" i="10"/>
  <c r="G28" i="10"/>
  <c r="G29" i="10"/>
  <c r="G30" i="10"/>
  <c r="H26" i="10"/>
  <c r="G26" i="10"/>
  <c r="E20" i="13" l="1"/>
  <c r="L4" i="13"/>
  <c r="M53" i="13"/>
  <c r="E18" i="13"/>
  <c r="E19" i="13" l="1"/>
  <c r="L3" i="13"/>
  <c r="F18" i="10"/>
  <c r="E18" i="10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6" i="16" l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</calcChain>
</file>

<file path=xl/comments1.xml><?xml version="1.0" encoding="utf-8"?>
<comments xmlns="http://schemas.openxmlformats.org/spreadsheetml/2006/main">
  <authors>
    <author>Usuario</author>
  </authors>
  <commentList>
    <comment ref="I8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<sst xmlns="http://schemas.openxmlformats.org/spreadsheetml/2006/main" count="364" uniqueCount="136">
  <si>
    <t>N° GARRON</t>
  </si>
  <si>
    <t>TROPA</t>
  </si>
  <si>
    <t>KG 1/2 A</t>
  </si>
  <si>
    <t>KG 1/2 B</t>
  </si>
  <si>
    <t>ROMANEO FAENA BOVINA</t>
  </si>
  <si>
    <t>RIÑON</t>
  </si>
  <si>
    <t>HIGADO</t>
  </si>
  <si>
    <t>CORAZON</t>
  </si>
  <si>
    <t>TRIPA GORDA</t>
  </si>
  <si>
    <t>RABO</t>
  </si>
  <si>
    <t>LENGUA</t>
  </si>
  <si>
    <t>total</t>
  </si>
  <si>
    <t>KG 1/2 izq</t>
  </si>
  <si>
    <t>KG 1/2 der</t>
  </si>
  <si>
    <t>TIPIFICACION</t>
  </si>
  <si>
    <t>ARTICULO</t>
  </si>
  <si>
    <t>USUARIO</t>
  </si>
  <si>
    <t>GUARDADO EN CAMARA</t>
  </si>
  <si>
    <t>ELABORADO KG</t>
  </si>
  <si>
    <t>BOLSAS</t>
  </si>
  <si>
    <t>CHINCHULIN (KG)</t>
  </si>
  <si>
    <t>MOLLEJAS (KG)</t>
  </si>
  <si>
    <t>TENDON</t>
  </si>
  <si>
    <t>CENTRO DE ENTRAÑA</t>
  </si>
  <si>
    <t>SESOS</t>
  </si>
  <si>
    <t>RINDE</t>
  </si>
  <si>
    <t>PROM.</t>
  </si>
  <si>
    <t>Nº 
GARRON</t>
  </si>
  <si>
    <t>Nº
 ANIMAL</t>
  </si>
  <si>
    <t>TIPO DE ANIMAL</t>
  </si>
  <si>
    <t>Nº CARAVANA</t>
  </si>
  <si>
    <t>KG ENTRADA</t>
  </si>
  <si>
    <t>TOTAL KG</t>
  </si>
  <si>
    <t xml:space="preserve">RINDE
FAENA </t>
  </si>
  <si>
    <t>CANTIDAD</t>
  </si>
  <si>
    <t>HUESO</t>
  </si>
  <si>
    <t>QUIJADA (KG)</t>
  </si>
  <si>
    <t>CARNE DE CABEZA (KG)</t>
  </si>
  <si>
    <t>GRASA</t>
  </si>
  <si>
    <t>BOLSA AZUL</t>
  </si>
  <si>
    <t>PESAJE INTERNO</t>
  </si>
  <si>
    <t>N° CABEZA</t>
  </si>
  <si>
    <t>DIENTES</t>
  </si>
  <si>
    <t xml:space="preserve">FECHA:     </t>
  </si>
  <si>
    <t>FECHA:</t>
  </si>
  <si>
    <t>TROPA:</t>
  </si>
  <si>
    <t>TROPA Nº</t>
  </si>
  <si>
    <t>TIPO</t>
  </si>
  <si>
    <t>LOTE:</t>
  </si>
  <si>
    <t>RAZA</t>
  </si>
  <si>
    <t>Estab. Faenador: Solemar Alimentaria S.A.</t>
  </si>
  <si>
    <t>Matricula: 300</t>
  </si>
  <si>
    <t>Nº SENASA: 3986</t>
  </si>
  <si>
    <t xml:space="preserve">Usuario/Matarife: </t>
  </si>
  <si>
    <t>Productor:</t>
  </si>
  <si>
    <t xml:space="preserve">Matricula: </t>
  </si>
  <si>
    <t>Nº DTE:</t>
  </si>
  <si>
    <t>Nº Guia:</t>
  </si>
  <si>
    <t>Cuartos</t>
  </si>
  <si>
    <t>Kg</t>
  </si>
  <si>
    <t>Nº Tropa:</t>
  </si>
  <si>
    <t>VQ</t>
  </si>
  <si>
    <t>Cantidad Cabeza:</t>
  </si>
  <si>
    <t>NT</t>
  </si>
  <si>
    <t>Kg Vivo entrada:</t>
  </si>
  <si>
    <t>NO</t>
  </si>
  <si>
    <t>Kg 1/2 Res</t>
  </si>
  <si>
    <t>TO</t>
  </si>
  <si>
    <t>Rinde:</t>
  </si>
  <si>
    <t>VA</t>
  </si>
  <si>
    <t>Promedio:</t>
  </si>
  <si>
    <t>MEJ</t>
  </si>
  <si>
    <t>Denticion</t>
  </si>
  <si>
    <t>Clasificacion</t>
  </si>
  <si>
    <t>Fecha Faena:</t>
  </si>
  <si>
    <t>CHINCHU - LAVADITO</t>
  </si>
  <si>
    <t>DESTINO</t>
  </si>
  <si>
    <t>KG</t>
  </si>
  <si>
    <t>F. FAENA</t>
  </si>
  <si>
    <t>F. ELAB.</t>
  </si>
  <si>
    <t>F. VENC.</t>
  </si>
  <si>
    <t>Fecha Ing.:</t>
  </si>
  <si>
    <t>Hora:</t>
  </si>
  <si>
    <t>MENUDENCIA</t>
  </si>
  <si>
    <t>Cantidades</t>
  </si>
  <si>
    <t>Unidad</t>
  </si>
  <si>
    <t>Kg Dec.</t>
  </si>
  <si>
    <t>TOTALES</t>
  </si>
  <si>
    <t>SUBPRODUCTOS</t>
  </si>
  <si>
    <t>UN.</t>
  </si>
  <si>
    <t>CUERO</t>
  </si>
  <si>
    <t>GRASA FAENA</t>
  </si>
  <si>
    <t xml:space="preserve">GRASA DREASING </t>
  </si>
  <si>
    <t>DESPERDICIO DE FAENA</t>
  </si>
  <si>
    <t>DOS DE FIERRO S.A</t>
  </si>
  <si>
    <t>LOGINPET SRL</t>
  </si>
  <si>
    <t>31664006-0</t>
  </si>
  <si>
    <t>G-CHO26-02341</t>
  </si>
  <si>
    <t>NOVILLITO</t>
  </si>
  <si>
    <t>FECHA:       04/05/2026</t>
  </si>
  <si>
    <t>DOS DE DIERRO S.A</t>
  </si>
  <si>
    <t>AA</t>
  </si>
  <si>
    <t>HE</t>
  </si>
  <si>
    <t>CA</t>
  </si>
  <si>
    <t>N983</t>
  </si>
  <si>
    <t>C706</t>
  </si>
  <si>
    <t>F876</t>
  </si>
  <si>
    <t>F546</t>
  </si>
  <si>
    <t>A369</t>
  </si>
  <si>
    <t>E623</t>
  </si>
  <si>
    <t>J907</t>
  </si>
  <si>
    <t>E555</t>
  </si>
  <si>
    <t>C343</t>
  </si>
  <si>
    <t>F531</t>
  </si>
  <si>
    <t>C327</t>
  </si>
  <si>
    <t>B654</t>
  </si>
  <si>
    <t>A450</t>
  </si>
  <si>
    <t>N984</t>
  </si>
  <si>
    <t>C660</t>
  </si>
  <si>
    <t>F580</t>
  </si>
  <si>
    <t>B498</t>
  </si>
  <si>
    <t>E554</t>
  </si>
  <si>
    <t>C723</t>
  </si>
  <si>
    <t>C371</t>
  </si>
  <si>
    <t>E312</t>
  </si>
  <si>
    <t>E578</t>
  </si>
  <si>
    <t>E529</t>
  </si>
  <si>
    <t>E572</t>
  </si>
  <si>
    <t>C338</t>
  </si>
  <si>
    <t>O496</t>
  </si>
  <si>
    <t>N466</t>
  </si>
  <si>
    <t>E551</t>
  </si>
  <si>
    <t>2D - NT</t>
  </si>
  <si>
    <t>23 5 DECOMISOS 26.2KG</t>
  </si>
  <si>
    <t>2defierro</t>
  </si>
  <si>
    <t>cipo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</si>
</sst>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2"/>
      <color theme="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12" xfId="0" applyBorder="1"/>
    <xf numFmtId="0" fontId="0" fillId="0" borderId="0" xfId="0" applyFont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0" borderId="16" xfId="0" applyFont="1" applyBorder="1"/>
    <xf numFmtId="0" fontId="1" fillId="0" borderId="6" xfId="0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29" xfId="0" applyFont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14" fontId="1" fillId="0" borderId="29" xfId="0" applyNumberFormat="1" applyFont="1" applyBorder="1" applyAlignment="1">
      <alignment horizontal="right"/>
    </xf>
    <xf numFmtId="0" fontId="1" fillId="0" borderId="30" xfId="0" applyFont="1" applyFill="1" applyBorder="1" applyAlignment="1">
      <alignment horizontal="right" vertical="center"/>
    </xf>
    <xf numFmtId="0" fontId="0" fillId="0" borderId="30" xfId="0" applyBorder="1"/>
    <xf numFmtId="0" fontId="2" fillId="0" borderId="29" xfId="0" applyFont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/>
    </xf>
    <xf numFmtId="0" fontId="0" fillId="0" borderId="29" xfId="0" applyBorder="1" applyAlignment="1">
      <alignment horizontal="left" vertical="center"/>
    </xf>
    <xf numFmtId="0" fontId="0" fillId="2" borderId="29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Font="1" applyBorder="1" applyAlignment="1">
      <alignment horizontal="right" vertical="center"/>
    </xf>
    <xf numFmtId="0" fontId="0" fillId="0" borderId="38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6" fillId="0" borderId="0" xfId="0" applyFont="1"/>
    <xf numFmtId="2" fontId="6" fillId="0" borderId="0" xfId="0" applyNumberFormat="1" applyFont="1"/>
    <xf numFmtId="0" fontId="6" fillId="0" borderId="18" xfId="0" applyFont="1" applyBorder="1"/>
    <xf numFmtId="0" fontId="6" fillId="0" borderId="19" xfId="0" applyFont="1" applyBorder="1"/>
    <xf numFmtId="2" fontId="6" fillId="0" borderId="19" xfId="0" applyNumberFormat="1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0" xfId="0" applyFont="1" applyBorder="1"/>
    <xf numFmtId="0" fontId="7" fillId="0" borderId="41" xfId="0" applyFont="1" applyBorder="1" applyAlignment="1">
      <alignment horizontal="center" vertical="center"/>
    </xf>
    <xf numFmtId="10" fontId="7" fillId="0" borderId="41" xfId="0" applyNumberFormat="1" applyFont="1" applyBorder="1" applyAlignment="1">
      <alignment vertical="center"/>
    </xf>
    <xf numFmtId="0" fontId="6" fillId="0" borderId="22" xfId="0" applyFont="1" applyBorder="1"/>
    <xf numFmtId="2" fontId="6" fillId="0" borderId="0" xfId="0" applyNumberFormat="1" applyFont="1" applyBorder="1"/>
    <xf numFmtId="2" fontId="7" fillId="0" borderId="41" xfId="0" applyNumberFormat="1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3" xfId="0" applyFont="1" applyBorder="1"/>
    <xf numFmtId="0" fontId="6" fillId="0" borderId="24" xfId="0" applyFont="1" applyBorder="1"/>
    <xf numFmtId="2" fontId="6" fillId="0" borderId="24" xfId="0" applyNumberFormat="1" applyFont="1" applyBorder="1"/>
    <xf numFmtId="0" fontId="6" fillId="0" borderId="25" xfId="0" applyFont="1" applyBorder="1"/>
    <xf numFmtId="0" fontId="6" fillId="0" borderId="21" xfId="0" applyFont="1" applyBorder="1" applyAlignment="1">
      <alignment horizontal="right"/>
    </xf>
    <xf numFmtId="2" fontId="6" fillId="0" borderId="24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6" fillId="0" borderId="24" xfId="0" applyFont="1" applyBorder="1" applyAlignment="1">
      <alignment horizontal="right"/>
    </xf>
    <xf numFmtId="0" fontId="7" fillId="0" borderId="24" xfId="0" applyFont="1" applyBorder="1" applyAlignment="1">
      <alignment vertical="center"/>
    </xf>
    <xf numFmtId="1" fontId="7" fillId="0" borderId="24" xfId="0" applyNumberFormat="1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1" fontId="11" fillId="0" borderId="30" xfId="1" applyNumberFormat="1" applyFont="1" applyFill="1" applyBorder="1" applyAlignment="1">
      <alignment horizontal="center" vertical="center"/>
    </xf>
    <xf numFmtId="10" fontId="10" fillId="0" borderId="30" xfId="1" applyNumberFormat="1" applyFont="1" applyBorder="1" applyAlignment="1">
      <alignment horizontal="right"/>
    </xf>
    <xf numFmtId="0" fontId="9" fillId="0" borderId="39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1" fontId="11" fillId="0" borderId="39" xfId="1" applyNumberFormat="1" applyFont="1" applyFill="1" applyBorder="1" applyAlignment="1">
      <alignment horizontal="center" vertical="center"/>
    </xf>
    <xf numFmtId="10" fontId="10" fillId="0" borderId="39" xfId="1" applyNumberFormat="1" applyFont="1" applyBorder="1" applyAlignment="1">
      <alignment horizontal="right"/>
    </xf>
    <xf numFmtId="10" fontId="10" fillId="0" borderId="39" xfId="1" applyNumberFormat="1" applyFont="1" applyFill="1" applyBorder="1" applyAlignment="1">
      <alignment horizontal="right"/>
    </xf>
    <xf numFmtId="1" fontId="9" fillId="0" borderId="39" xfId="1" applyNumberFormat="1" applyFont="1" applyBorder="1" applyAlignment="1">
      <alignment horizontal="center" vertical="center"/>
    </xf>
    <xf numFmtId="4" fontId="9" fillId="0" borderId="40" xfId="0" applyNumberFormat="1" applyFont="1" applyBorder="1" applyAlignment="1">
      <alignment horizontal="center"/>
    </xf>
    <xf numFmtId="1" fontId="9" fillId="0" borderId="29" xfId="1" applyNumberFormat="1" applyFont="1" applyBorder="1" applyAlignment="1">
      <alignment horizontal="center" vertical="center"/>
    </xf>
    <xf numFmtId="4" fontId="9" fillId="0" borderId="29" xfId="0" applyNumberFormat="1" applyFont="1" applyBorder="1"/>
    <xf numFmtId="10" fontId="10" fillId="0" borderId="29" xfId="1" applyNumberFormat="1" applyFont="1" applyBorder="1"/>
    <xf numFmtId="10" fontId="6" fillId="0" borderId="0" xfId="0" applyNumberFormat="1" applyFont="1"/>
    <xf numFmtId="0" fontId="0" fillId="0" borderId="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26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29" xfId="0" applyFont="1" applyBorder="1" applyAlignment="1">
      <alignment horizontal="center"/>
    </xf>
    <xf numFmtId="14" fontId="12" fillId="0" borderId="29" xfId="0" applyNumberFormat="1" applyFont="1" applyBorder="1" applyAlignment="1">
      <alignment horizontal="center"/>
    </xf>
    <xf numFmtId="0" fontId="6" fillId="0" borderId="29" xfId="0" applyFont="1" applyFill="1" applyBorder="1" applyAlignment="1">
      <alignment horizontal="center"/>
    </xf>
    <xf numFmtId="2" fontId="6" fillId="0" borderId="29" xfId="0" applyNumberFormat="1" applyFont="1" applyFill="1" applyBorder="1" applyAlignment="1">
      <alignment horizontal="center"/>
    </xf>
    <xf numFmtId="0" fontId="7" fillId="0" borderId="29" xfId="0" applyFont="1" applyBorder="1" applyAlignment="1">
      <alignment horizontal="center"/>
    </xf>
    <xf numFmtId="2" fontId="7" fillId="0" borderId="0" xfId="0" applyNumberFormat="1" applyFont="1"/>
    <xf numFmtId="2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1" fontId="7" fillId="0" borderId="0" xfId="0" applyNumberFormat="1" applyFont="1" applyAlignment="1">
      <alignment vertical="center"/>
    </xf>
    <xf numFmtId="2" fontId="14" fillId="0" borderId="29" xfId="0" applyNumberFormat="1" applyFont="1" applyBorder="1" applyAlignment="1">
      <alignment horizontal="center" vertical="center" wrapText="1"/>
    </xf>
    <xf numFmtId="2" fontId="14" fillId="0" borderId="11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39" xfId="0" applyFont="1" applyBorder="1"/>
    <xf numFmtId="2" fontId="6" fillId="0" borderId="47" xfId="0" applyNumberFormat="1" applyFont="1" applyBorder="1"/>
    <xf numFmtId="2" fontId="6" fillId="0" borderId="29" xfId="0" applyNumberFormat="1" applyFont="1" applyBorder="1"/>
    <xf numFmtId="2" fontId="6" fillId="0" borderId="11" xfId="0" applyNumberFormat="1" applyFont="1" applyBorder="1"/>
    <xf numFmtId="0" fontId="6" fillId="0" borderId="29" xfId="0" applyFont="1" applyBorder="1"/>
    <xf numFmtId="2" fontId="6" fillId="0" borderId="43" xfId="0" applyNumberFormat="1" applyFont="1" applyBorder="1"/>
    <xf numFmtId="0" fontId="14" fillId="0" borderId="0" xfId="0" applyFont="1"/>
    <xf numFmtId="2" fontId="14" fillId="0" borderId="0" xfId="0" applyNumberFormat="1" applyFont="1"/>
    <xf numFmtId="0" fontId="14" fillId="0" borderId="29" xfId="0" applyFont="1" applyBorder="1" applyAlignment="1">
      <alignment horizontal="center" vertical="center" wrapText="1"/>
    </xf>
    <xf numFmtId="10" fontId="6" fillId="0" borderId="30" xfId="1" applyNumberFormat="1" applyFont="1" applyBorder="1" applyAlignment="1">
      <alignment horizontal="center"/>
    </xf>
    <xf numFmtId="2" fontId="6" fillId="0" borderId="30" xfId="0" applyNumberFormat="1" applyFont="1" applyBorder="1"/>
    <xf numFmtId="0" fontId="6" fillId="0" borderId="39" xfId="0" applyFont="1" applyBorder="1" applyAlignment="1">
      <alignment horizontal="center"/>
    </xf>
    <xf numFmtId="2" fontId="6" fillId="0" borderId="39" xfId="0" applyNumberFormat="1" applyFont="1" applyBorder="1"/>
    <xf numFmtId="10" fontId="6" fillId="0" borderId="39" xfId="1" applyNumberFormat="1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2" fontId="6" fillId="0" borderId="40" xfId="0" applyNumberFormat="1" applyFont="1" applyBorder="1"/>
    <xf numFmtId="10" fontId="6" fillId="0" borderId="29" xfId="1" applyNumberFormat="1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4" fontId="11" fillId="0" borderId="36" xfId="0" applyNumberFormat="1" applyFont="1" applyBorder="1" applyAlignment="1">
      <alignment horizontal="center"/>
    </xf>
    <xf numFmtId="4" fontId="11" fillId="0" borderId="45" xfId="0" applyNumberFormat="1" applyFont="1" applyBorder="1" applyAlignment="1">
      <alignment horizontal="center"/>
    </xf>
    <xf numFmtId="4" fontId="9" fillId="0" borderId="45" xfId="0" applyNumberFormat="1" applyFont="1" applyBorder="1" applyAlignment="1">
      <alignment horizontal="center"/>
    </xf>
    <xf numFmtId="4" fontId="9" fillId="0" borderId="47" xfId="0" applyNumberFormat="1" applyFont="1" applyBorder="1"/>
    <xf numFmtId="4" fontId="9" fillId="0" borderId="40" xfId="1" applyNumberFormat="1" applyFont="1" applyBorder="1" applyAlignment="1">
      <alignment horizontal="center" vertical="center"/>
    </xf>
    <xf numFmtId="0" fontId="0" fillId="0" borderId="48" xfId="0" applyFont="1" applyBorder="1" applyAlignment="1">
      <alignment horizontal="center"/>
    </xf>
    <xf numFmtId="0" fontId="0" fillId="0" borderId="47" xfId="0" applyFont="1" applyBorder="1" applyAlignment="1">
      <alignment horizontal="center"/>
    </xf>
    <xf numFmtId="0" fontId="0" fillId="0" borderId="47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39" xfId="0" applyFont="1" applyBorder="1" applyAlignment="1">
      <alignment horizont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4" fontId="9" fillId="4" borderId="48" xfId="0" applyNumberFormat="1" applyFont="1" applyFill="1" applyBorder="1"/>
    <xf numFmtId="4" fontId="9" fillId="4" borderId="47" xfId="0" applyNumberFormat="1" applyFont="1" applyFill="1" applyBorder="1"/>
    <xf numFmtId="0" fontId="9" fillId="0" borderId="53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10" fontId="10" fillId="0" borderId="54" xfId="1" applyNumberFormat="1" applyFont="1" applyBorder="1" applyAlignment="1">
      <alignment horizontal="right"/>
    </xf>
    <xf numFmtId="10" fontId="10" fillId="0" borderId="54" xfId="1" applyNumberFormat="1" applyFont="1" applyFill="1" applyBorder="1" applyAlignment="1">
      <alignment horizontal="right"/>
    </xf>
    <xf numFmtId="10" fontId="10" fillId="0" borderId="55" xfId="1" applyNumberFormat="1" applyFont="1" applyBorder="1" applyAlignment="1">
      <alignment horizontal="right"/>
    </xf>
    <xf numFmtId="4" fontId="9" fillId="4" borderId="56" xfId="0" applyNumberFormat="1" applyFont="1" applyFill="1" applyBorder="1"/>
    <xf numFmtId="4" fontId="9" fillId="4" borderId="54" xfId="0" applyNumberFormat="1" applyFont="1" applyFill="1" applyBorder="1"/>
    <xf numFmtId="4" fontId="9" fillId="4" borderId="55" xfId="0" applyNumberFormat="1" applyFont="1" applyFill="1" applyBorder="1"/>
    <xf numFmtId="0" fontId="9" fillId="0" borderId="50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0" fillId="0" borderId="54" xfId="0" applyFont="1" applyBorder="1" applyAlignment="1">
      <alignment horizontal="center"/>
    </xf>
    <xf numFmtId="0" fontId="0" fillId="0" borderId="5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11" fillId="0" borderId="52" xfId="0" applyFont="1" applyBorder="1" applyAlignment="1">
      <alignment horizontal="center"/>
    </xf>
    <xf numFmtId="4" fontId="11" fillId="0" borderId="56" xfId="0" applyNumberFormat="1" applyFont="1" applyBorder="1" applyAlignment="1">
      <alignment horizontal="center"/>
    </xf>
    <xf numFmtId="4" fontId="11" fillId="0" borderId="54" xfId="0" applyNumberFormat="1" applyFont="1" applyBorder="1" applyAlignment="1">
      <alignment horizontal="center"/>
    </xf>
    <xf numFmtId="4" fontId="11" fillId="0" borderId="55" xfId="0" applyNumberFormat="1" applyFont="1" applyBorder="1" applyAlignment="1">
      <alignment horizontal="center"/>
    </xf>
    <xf numFmtId="1" fontId="11" fillId="0" borderId="13" xfId="1" applyNumberFormat="1" applyFont="1" applyFill="1" applyBorder="1" applyAlignment="1">
      <alignment horizontal="center" vertical="center"/>
    </xf>
    <xf numFmtId="1" fontId="11" fillId="0" borderId="57" xfId="1" applyNumberFormat="1" applyFont="1" applyFill="1" applyBorder="1" applyAlignment="1">
      <alignment horizontal="center" vertical="center"/>
    </xf>
    <xf numFmtId="1" fontId="11" fillId="0" borderId="14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22" xfId="0" applyFont="1" applyBorder="1" applyAlignment="1">
      <alignment horizontal="left"/>
    </xf>
    <xf numFmtId="2" fontId="6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2" fontId="9" fillId="0" borderId="30" xfId="0" applyNumberFormat="1" applyFont="1" applyBorder="1" applyAlignment="1">
      <alignment horizontal="center" vertical="center" wrapText="1"/>
    </xf>
    <xf numFmtId="2" fontId="9" fillId="0" borderId="40" xfId="0" applyNumberFormat="1" applyFont="1" applyBorder="1" applyAlignment="1">
      <alignment horizontal="center" vertical="center" wrapText="1"/>
    </xf>
    <xf numFmtId="2" fontId="9" fillId="0" borderId="39" xfId="0" applyNumberFormat="1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13" fillId="0" borderId="4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9" xfId="0" applyFont="1" applyBorder="1" applyAlignment="1">
      <alignment horizontal="left"/>
    </xf>
    <xf numFmtId="0" fontId="6" fillId="0" borderId="40" xfId="0" applyFont="1" applyBorder="1" applyAlignment="1">
      <alignment horizontal="left"/>
    </xf>
    <xf numFmtId="0" fontId="6" fillId="0" borderId="29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13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left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7" fillId="3" borderId="29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0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2" fontId="9" fillId="0" borderId="13" xfId="0" applyNumberFormat="1" applyFont="1" applyBorder="1" applyAlignment="1">
      <alignment horizontal="center" vertical="center" wrapText="1"/>
    </xf>
    <xf numFmtId="2" fontId="9" fillId="0" borderId="14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6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514475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82"/>
  <sheetViews>
    <sheetView tabSelected="1" topLeftCell="A28" zoomScaleNormal="100" workbookViewId="0">
      <selection activeCell="I34" sqref="I34"/>
    </sheetView>
  </sheetViews>
  <sheetFormatPr baseColWidth="10" defaultColWidth="12.42578125" defaultRowHeight="15.75" x14ac:dyDescent="0.25"/>
  <cols>
    <col min="1" max="1" width="4" style="48" customWidth="1"/>
    <col min="2" max="2" width="3.7109375" style="48" customWidth="1"/>
    <col min="3" max="3" width="9.5703125" style="48" customWidth="1"/>
    <col min="4" max="4" width="9.7109375" style="48" customWidth="1"/>
    <col min="5" max="5" width="6.42578125" style="48" customWidth="1"/>
    <col min="6" max="7" width="12.7109375" style="48" customWidth="1"/>
    <col min="8" max="8" width="17.42578125" style="49" customWidth="1"/>
    <col min="9" max="9" width="12.7109375" style="48" customWidth="1"/>
    <col min="10" max="10" width="14.42578125" style="49" bestFit="1" customWidth="1"/>
    <col min="11" max="12" width="12.7109375" style="48" customWidth="1"/>
    <col min="13" max="13" width="12.42578125" style="48"/>
    <col min="14" max="14" width="3.7109375" style="48" customWidth="1"/>
    <col min="15" max="16384" width="12.42578125" style="48"/>
  </cols>
  <sheetData>
    <row r="1" spans="2:14" ht="16.5" thickBot="1" x14ac:dyDescent="0.3"/>
    <row r="2" spans="2:14" ht="17.25" thickTop="1" thickBot="1" x14ac:dyDescent="0.3">
      <c r="B2" s="50"/>
      <c r="C2" s="51"/>
      <c r="D2" s="51"/>
      <c r="E2" s="51"/>
      <c r="F2" s="51"/>
      <c r="G2" s="51"/>
      <c r="H2" s="52"/>
      <c r="I2" s="51"/>
      <c r="J2" s="52"/>
      <c r="K2" s="51"/>
      <c r="L2" s="51"/>
      <c r="M2" s="51"/>
      <c r="N2" s="53"/>
    </row>
    <row r="3" spans="2:14" ht="17.25" thickTop="1" thickBot="1" x14ac:dyDescent="0.3">
      <c r="B3" s="54"/>
      <c r="G3" s="48" t="s">
        <v>50</v>
      </c>
      <c r="H3" s="48"/>
      <c r="J3" s="48"/>
      <c r="K3" s="56" t="s">
        <v>25</v>
      </c>
      <c r="L3" s="57">
        <f>+M53</f>
        <v>0.57169184003039808</v>
      </c>
      <c r="N3" s="58"/>
    </row>
    <row r="4" spans="2:14" ht="17.25" thickTop="1" thickBot="1" x14ac:dyDescent="0.3">
      <c r="B4" s="54"/>
      <c r="G4" s="49" t="s">
        <v>51</v>
      </c>
      <c r="K4" s="56" t="s">
        <v>26</v>
      </c>
      <c r="L4" s="60">
        <f>+L53/D53</f>
        <v>214.93571428571431</v>
      </c>
      <c r="N4" s="58"/>
    </row>
    <row r="5" spans="2:14" ht="16.5" thickTop="1" x14ac:dyDescent="0.25">
      <c r="B5" s="54"/>
      <c r="G5" s="49" t="s">
        <v>52</v>
      </c>
      <c r="K5" s="61"/>
      <c r="L5" s="62"/>
      <c r="N5" s="58"/>
    </row>
    <row r="6" spans="2:14" ht="16.5" thickBot="1" x14ac:dyDescent="0.3">
      <c r="B6" s="63"/>
      <c r="C6" s="64"/>
      <c r="D6" s="64"/>
      <c r="E6" s="64"/>
      <c r="F6" s="64"/>
      <c r="G6" s="64"/>
      <c r="H6" s="65"/>
      <c r="I6" s="64"/>
      <c r="J6" s="65"/>
      <c r="K6" s="64"/>
      <c r="L6" s="64"/>
      <c r="M6" s="64"/>
      <c r="N6" s="66"/>
    </row>
    <row r="7" spans="2:14" ht="8.1" customHeight="1" thickTop="1" x14ac:dyDescent="0.25">
      <c r="B7" s="50"/>
      <c r="C7" s="51"/>
      <c r="D7" s="51"/>
      <c r="E7" s="51"/>
      <c r="F7" s="51"/>
      <c r="G7" s="51"/>
      <c r="H7" s="52"/>
      <c r="I7" s="50"/>
      <c r="J7" s="52"/>
      <c r="K7" s="51"/>
      <c r="L7" s="51"/>
      <c r="M7" s="51"/>
      <c r="N7" s="53"/>
    </row>
    <row r="8" spans="2:14" x14ac:dyDescent="0.25">
      <c r="B8" s="54"/>
      <c r="C8" s="191" t="s">
        <v>53</v>
      </c>
      <c r="D8" s="191"/>
      <c r="E8" s="192" t="s">
        <v>94</v>
      </c>
      <c r="F8" s="192"/>
      <c r="G8" s="192"/>
      <c r="H8" s="193"/>
      <c r="I8" s="67" t="s">
        <v>54</v>
      </c>
      <c r="J8" s="195" t="s">
        <v>95</v>
      </c>
      <c r="K8" s="195"/>
      <c r="L8" s="195"/>
      <c r="M8" s="195"/>
      <c r="N8" s="58"/>
    </row>
    <row r="9" spans="2:14" x14ac:dyDescent="0.25">
      <c r="B9" s="54"/>
      <c r="C9" s="194" t="s">
        <v>55</v>
      </c>
      <c r="D9" s="194"/>
      <c r="E9" s="192">
        <v>27345</v>
      </c>
      <c r="F9" s="192"/>
      <c r="G9" s="192"/>
      <c r="H9" s="193"/>
      <c r="I9" s="67" t="s">
        <v>56</v>
      </c>
      <c r="J9" s="106" t="s">
        <v>96</v>
      </c>
      <c r="K9" s="97" t="s">
        <v>57</v>
      </c>
      <c r="L9" s="188" t="s">
        <v>97</v>
      </c>
      <c r="M9" s="188"/>
      <c r="N9" s="58"/>
    </row>
    <row r="10" spans="2:14" x14ac:dyDescent="0.25">
      <c r="B10" s="54"/>
      <c r="C10" s="107"/>
      <c r="D10" s="107"/>
      <c r="E10" s="108"/>
      <c r="F10" s="108"/>
      <c r="G10" s="108"/>
      <c r="H10" s="99"/>
      <c r="I10" s="67" t="s">
        <v>81</v>
      </c>
      <c r="J10" s="132">
        <v>46145</v>
      </c>
      <c r="K10" s="97" t="s">
        <v>82</v>
      </c>
      <c r="L10" s="190">
        <v>0.5</v>
      </c>
      <c r="M10" s="188"/>
      <c r="N10" s="58"/>
    </row>
    <row r="11" spans="2:14" ht="8.1" customHeight="1" thickBot="1" x14ac:dyDescent="0.3">
      <c r="B11" s="63"/>
      <c r="C11" s="68"/>
      <c r="D11" s="68"/>
      <c r="E11" s="64"/>
      <c r="F11" s="64"/>
      <c r="G11" s="64"/>
      <c r="H11" s="65"/>
      <c r="I11" s="63"/>
      <c r="J11" s="65"/>
      <c r="K11" s="64"/>
      <c r="L11" s="64"/>
      <c r="M11" s="64"/>
      <c r="N11" s="66"/>
    </row>
    <row r="12" spans="2:14" ht="8.1" customHeight="1" thickTop="1" x14ac:dyDescent="0.25">
      <c r="B12" s="54"/>
      <c r="C12" s="69"/>
      <c r="D12" s="69"/>
      <c r="E12" s="55"/>
      <c r="F12" s="55"/>
      <c r="G12" s="55"/>
      <c r="H12" s="59"/>
      <c r="I12" s="55"/>
      <c r="J12" s="59"/>
      <c r="K12" s="55"/>
      <c r="L12" s="55"/>
      <c r="M12" s="55"/>
      <c r="N12" s="58"/>
    </row>
    <row r="13" spans="2:14" ht="8.1" customHeight="1" x14ac:dyDescent="0.25">
      <c r="B13" s="54"/>
      <c r="C13" s="109"/>
      <c r="D13" s="109"/>
      <c r="N13" s="58"/>
    </row>
    <row r="14" spans="2:14" x14ac:dyDescent="0.25">
      <c r="B14" s="54"/>
      <c r="D14" s="97" t="s">
        <v>74</v>
      </c>
      <c r="E14" s="189">
        <v>46146</v>
      </c>
      <c r="F14" s="189"/>
      <c r="H14" s="48"/>
      <c r="I14" s="70"/>
      <c r="J14" s="48"/>
      <c r="K14" s="100" t="s">
        <v>58</v>
      </c>
      <c r="L14" s="100" t="s">
        <v>59</v>
      </c>
      <c r="N14" s="58"/>
    </row>
    <row r="15" spans="2:14" x14ac:dyDescent="0.25">
      <c r="B15" s="54"/>
      <c r="C15" s="191" t="s">
        <v>60</v>
      </c>
      <c r="D15" s="191"/>
      <c r="E15" s="196">
        <v>173</v>
      </c>
      <c r="F15" s="196"/>
      <c r="H15" s="48"/>
      <c r="I15" s="70"/>
      <c r="J15" s="100" t="s">
        <v>61</v>
      </c>
      <c r="K15" s="98">
        <f>+COUNTIF($G$24:$G$53,"VQ")*2</f>
        <v>0</v>
      </c>
      <c r="L15" s="98">
        <f>+SUMIF($G$25:$G$52,"VQ",$L$25:$L$52)</f>
        <v>0</v>
      </c>
      <c r="N15" s="58"/>
    </row>
    <row r="16" spans="2:14" x14ac:dyDescent="0.25">
      <c r="B16" s="54"/>
      <c r="C16" s="191" t="s">
        <v>62</v>
      </c>
      <c r="D16" s="191"/>
      <c r="E16" s="188">
        <v>28</v>
      </c>
      <c r="F16" s="188"/>
      <c r="H16" s="48"/>
      <c r="I16" s="70"/>
      <c r="J16" s="100" t="s">
        <v>63</v>
      </c>
      <c r="K16" s="98">
        <f>+COUNTIF($G$24:$G$53,"NT")*2</f>
        <v>56</v>
      </c>
      <c r="L16" s="98">
        <f>+SUMIF($G$25:$G$52,"NT",$L$25:$L$52)</f>
        <v>6018.2000000000007</v>
      </c>
      <c r="N16" s="58"/>
    </row>
    <row r="17" spans="2:14" x14ac:dyDescent="0.25">
      <c r="B17" s="54"/>
      <c r="C17" s="191" t="s">
        <v>64</v>
      </c>
      <c r="D17" s="191"/>
      <c r="E17" s="197">
        <f>+I53</f>
        <v>10527</v>
      </c>
      <c r="F17" s="188"/>
      <c r="H17" s="48"/>
      <c r="I17" s="70"/>
      <c r="J17" s="100" t="s">
        <v>65</v>
      </c>
      <c r="K17" s="98">
        <f>+COUNTIF($G$24:$G$53,"NO")*2</f>
        <v>0</v>
      </c>
      <c r="L17" s="98">
        <f>+SUMIF($G$25:$G$52,"NO",$L$25:$L$52)</f>
        <v>0</v>
      </c>
      <c r="N17" s="58"/>
    </row>
    <row r="18" spans="2:14" x14ac:dyDescent="0.25">
      <c r="B18" s="54"/>
      <c r="C18" s="191" t="s">
        <v>66</v>
      </c>
      <c r="D18" s="191"/>
      <c r="E18" s="197">
        <f>+L53</f>
        <v>6018.2000000000007</v>
      </c>
      <c r="F18" s="188"/>
      <c r="H18" s="48"/>
      <c r="I18" s="70"/>
      <c r="J18" s="100" t="s">
        <v>67</v>
      </c>
      <c r="K18" s="98">
        <f>+COUNTIF($G$24:$G$53,"TO")*2</f>
        <v>0</v>
      </c>
      <c r="L18" s="98">
        <f>+SUMIF($G$25:$G$52,"TO",$L$25:$L$52)</f>
        <v>0</v>
      </c>
      <c r="N18" s="58"/>
    </row>
    <row r="19" spans="2:14" x14ac:dyDescent="0.25">
      <c r="B19" s="54"/>
      <c r="C19" s="191" t="s">
        <v>68</v>
      </c>
      <c r="D19" s="191"/>
      <c r="E19" s="198">
        <f>+M53</f>
        <v>0.57169184003039808</v>
      </c>
      <c r="F19" s="188"/>
      <c r="G19" s="70"/>
      <c r="H19" s="110"/>
      <c r="I19" s="70"/>
      <c r="J19" s="100" t="s">
        <v>69</v>
      </c>
      <c r="K19" s="98">
        <f>+COUNTIF($G$24:$G$53,"VA")*2</f>
        <v>0</v>
      </c>
      <c r="L19" s="98">
        <f>+SUMIF($G$25:$G$52,"VA",$L$25:$L$52)</f>
        <v>0</v>
      </c>
      <c r="N19" s="58"/>
    </row>
    <row r="20" spans="2:14" x14ac:dyDescent="0.25">
      <c r="B20" s="54"/>
      <c r="C20" s="191" t="s">
        <v>70</v>
      </c>
      <c r="D20" s="191"/>
      <c r="E20" s="195">
        <f>+L53/D53</f>
        <v>214.93571428571431</v>
      </c>
      <c r="F20" s="195"/>
      <c r="G20" s="70"/>
      <c r="H20" s="110"/>
      <c r="I20" s="70"/>
      <c r="J20" s="100" t="s">
        <v>71</v>
      </c>
      <c r="K20" s="98">
        <f>+COUNTIF($G$24:$G$53,"MEJ")*2</f>
        <v>0</v>
      </c>
      <c r="L20" s="98">
        <f>+SUMIF($G$25:$G$52,"MEJ",$L$25:$L$52)</f>
        <v>0</v>
      </c>
      <c r="N20" s="58"/>
    </row>
    <row r="21" spans="2:14" ht="9.9499999999999993" customHeight="1" thickBot="1" x14ac:dyDescent="0.3">
      <c r="B21" s="63"/>
      <c r="C21" s="71"/>
      <c r="D21" s="71"/>
      <c r="E21" s="64"/>
      <c r="F21" s="64"/>
      <c r="G21" s="72"/>
      <c r="H21" s="73"/>
      <c r="I21" s="72"/>
      <c r="J21" s="64"/>
      <c r="K21" s="64"/>
      <c r="L21" s="64"/>
      <c r="M21" s="64"/>
      <c r="N21" s="66"/>
    </row>
    <row r="22" spans="2:14" ht="9.9499999999999993" customHeight="1" thickTop="1" x14ac:dyDescent="0.25">
      <c r="B22" s="54"/>
      <c r="N22" s="58"/>
    </row>
    <row r="23" spans="2:14" s="76" customFormat="1" ht="26.25" customHeight="1" x14ac:dyDescent="0.25">
      <c r="B23" s="74"/>
      <c r="C23" s="206" t="s">
        <v>27</v>
      </c>
      <c r="D23" s="206" t="s">
        <v>28</v>
      </c>
      <c r="E23" s="202" t="s">
        <v>49</v>
      </c>
      <c r="F23" s="210" t="s">
        <v>29</v>
      </c>
      <c r="G23" s="211"/>
      <c r="H23" s="212" t="s">
        <v>30</v>
      </c>
      <c r="I23" s="199" t="s">
        <v>31</v>
      </c>
      <c r="J23" s="199" t="s">
        <v>2</v>
      </c>
      <c r="K23" s="202" t="s">
        <v>3</v>
      </c>
      <c r="L23" s="199" t="s">
        <v>32</v>
      </c>
      <c r="M23" s="204" t="s">
        <v>33</v>
      </c>
      <c r="N23" s="75"/>
    </row>
    <row r="24" spans="2:14" x14ac:dyDescent="0.25">
      <c r="B24" s="54"/>
      <c r="C24" s="207"/>
      <c r="D24" s="208"/>
      <c r="E24" s="209"/>
      <c r="F24" s="141" t="s">
        <v>72</v>
      </c>
      <c r="G24" s="77" t="s">
        <v>73</v>
      </c>
      <c r="H24" s="213"/>
      <c r="I24" s="200"/>
      <c r="J24" s="201"/>
      <c r="K24" s="203"/>
      <c r="L24" s="200"/>
      <c r="M24" s="205"/>
      <c r="N24" s="58"/>
    </row>
    <row r="25" spans="2:14" x14ac:dyDescent="0.25">
      <c r="B25" s="54"/>
      <c r="C25" s="79">
        <v>1</v>
      </c>
      <c r="D25" s="78">
        <v>27</v>
      </c>
      <c r="E25" s="136" t="s">
        <v>101</v>
      </c>
      <c r="F25" s="142" t="s">
        <v>132</v>
      </c>
      <c r="G25" s="139" t="s">
        <v>63</v>
      </c>
      <c r="H25" s="80" t="s">
        <v>130</v>
      </c>
      <c r="I25" s="145">
        <v>388</v>
      </c>
      <c r="J25" s="154">
        <v>111.8</v>
      </c>
      <c r="K25" s="150">
        <v>110.1</v>
      </c>
      <c r="L25" s="159">
        <f t="shared" ref="L25:L52" si="0">+J25+K25</f>
        <v>221.89999999999998</v>
      </c>
      <c r="M25" s="81">
        <f t="shared" ref="M25:M53" si="1">+L25/I25</f>
        <v>0.57190721649484533</v>
      </c>
      <c r="N25" s="58"/>
    </row>
    <row r="26" spans="2:14" x14ac:dyDescent="0.25">
      <c r="B26" s="54"/>
      <c r="C26" s="82">
        <v>2</v>
      </c>
      <c r="D26" s="82">
        <v>18</v>
      </c>
      <c r="E26" s="137" t="s">
        <v>103</v>
      </c>
      <c r="F26" s="143" t="s">
        <v>132</v>
      </c>
      <c r="G26" s="140" t="s">
        <v>63</v>
      </c>
      <c r="H26" s="84" t="s">
        <v>121</v>
      </c>
      <c r="I26" s="146">
        <v>353</v>
      </c>
      <c r="J26" s="155">
        <v>105.5</v>
      </c>
      <c r="K26" s="151">
        <v>104.9</v>
      </c>
      <c r="L26" s="148">
        <f t="shared" si="0"/>
        <v>210.4</v>
      </c>
      <c r="M26" s="85">
        <f t="shared" si="1"/>
        <v>0.59603399433427762</v>
      </c>
      <c r="N26" s="58"/>
    </row>
    <row r="27" spans="2:14" x14ac:dyDescent="0.25">
      <c r="B27" s="54"/>
      <c r="C27" s="82">
        <v>3</v>
      </c>
      <c r="D27" s="82">
        <v>2</v>
      </c>
      <c r="E27" s="137" t="s">
        <v>102</v>
      </c>
      <c r="F27" s="143" t="s">
        <v>132</v>
      </c>
      <c r="G27" s="140" t="s">
        <v>63</v>
      </c>
      <c r="H27" s="84" t="s">
        <v>105</v>
      </c>
      <c r="I27" s="146">
        <v>387</v>
      </c>
      <c r="J27" s="155">
        <v>106.8</v>
      </c>
      <c r="K27" s="151">
        <v>106.5</v>
      </c>
      <c r="L27" s="148">
        <f t="shared" si="0"/>
        <v>213.3</v>
      </c>
      <c r="M27" s="85">
        <f t="shared" si="1"/>
        <v>0.55116279069767449</v>
      </c>
      <c r="N27" s="58"/>
    </row>
    <row r="28" spans="2:14" x14ac:dyDescent="0.25">
      <c r="B28" s="54"/>
      <c r="C28" s="82">
        <v>4</v>
      </c>
      <c r="D28" s="82">
        <v>15</v>
      </c>
      <c r="E28" s="137" t="s">
        <v>103</v>
      </c>
      <c r="F28" s="143" t="s">
        <v>132</v>
      </c>
      <c r="G28" s="140" t="s">
        <v>63</v>
      </c>
      <c r="H28" s="84" t="s">
        <v>118</v>
      </c>
      <c r="I28" s="146">
        <v>381</v>
      </c>
      <c r="J28" s="155">
        <v>110</v>
      </c>
      <c r="K28" s="151">
        <v>109.2</v>
      </c>
      <c r="L28" s="160">
        <f t="shared" si="0"/>
        <v>219.2</v>
      </c>
      <c r="M28" s="85">
        <f t="shared" si="1"/>
        <v>0.5753280839895013</v>
      </c>
      <c r="N28" s="58"/>
    </row>
    <row r="29" spans="2:14" x14ac:dyDescent="0.25">
      <c r="B29" s="54"/>
      <c r="C29" s="82">
        <v>5</v>
      </c>
      <c r="D29" s="82">
        <v>24</v>
      </c>
      <c r="E29" s="137" t="s">
        <v>103</v>
      </c>
      <c r="F29" s="143" t="s">
        <v>132</v>
      </c>
      <c r="G29" s="140" t="s">
        <v>63</v>
      </c>
      <c r="H29" s="84" t="s">
        <v>127</v>
      </c>
      <c r="I29" s="146">
        <v>366</v>
      </c>
      <c r="J29" s="155">
        <v>102.4</v>
      </c>
      <c r="K29" s="151">
        <v>100.4</v>
      </c>
      <c r="L29" s="148">
        <f t="shared" si="0"/>
        <v>202.8</v>
      </c>
      <c r="M29" s="85">
        <f t="shared" si="1"/>
        <v>0.5540983606557377</v>
      </c>
      <c r="N29" s="58"/>
    </row>
    <row r="30" spans="2:14" x14ac:dyDescent="0.25">
      <c r="B30" s="54"/>
      <c r="C30" s="82">
        <v>6</v>
      </c>
      <c r="D30" s="82">
        <v>7</v>
      </c>
      <c r="E30" s="137" t="s">
        <v>102</v>
      </c>
      <c r="F30" s="143" t="s">
        <v>132</v>
      </c>
      <c r="G30" s="140" t="s">
        <v>63</v>
      </c>
      <c r="H30" s="84" t="s">
        <v>110</v>
      </c>
      <c r="I30" s="146">
        <v>338</v>
      </c>
      <c r="J30" s="155">
        <v>93.7</v>
      </c>
      <c r="K30" s="151">
        <v>93.1</v>
      </c>
      <c r="L30" s="148">
        <f t="shared" si="0"/>
        <v>186.8</v>
      </c>
      <c r="M30" s="85">
        <f t="shared" si="1"/>
        <v>0.55266272189349119</v>
      </c>
      <c r="N30" s="58"/>
    </row>
    <row r="31" spans="2:14" x14ac:dyDescent="0.25">
      <c r="B31" s="54"/>
      <c r="C31" s="82">
        <v>7</v>
      </c>
      <c r="D31" s="82">
        <v>6</v>
      </c>
      <c r="E31" s="137" t="s">
        <v>101</v>
      </c>
      <c r="F31" s="143" t="s">
        <v>132</v>
      </c>
      <c r="G31" s="140" t="s">
        <v>63</v>
      </c>
      <c r="H31" s="84" t="s">
        <v>109</v>
      </c>
      <c r="I31" s="146">
        <v>375</v>
      </c>
      <c r="J31" s="155">
        <v>103.6</v>
      </c>
      <c r="K31" s="151">
        <v>103.4</v>
      </c>
      <c r="L31" s="148">
        <f t="shared" si="0"/>
        <v>207</v>
      </c>
      <c r="M31" s="85">
        <f t="shared" si="1"/>
        <v>0.55200000000000005</v>
      </c>
      <c r="N31" s="58"/>
    </row>
    <row r="32" spans="2:14" x14ac:dyDescent="0.25">
      <c r="B32" s="54"/>
      <c r="C32" s="82">
        <v>8</v>
      </c>
      <c r="D32" s="82">
        <v>21</v>
      </c>
      <c r="E32" s="137" t="s">
        <v>103</v>
      </c>
      <c r="F32" s="143" t="s">
        <v>132</v>
      </c>
      <c r="G32" s="140" t="s">
        <v>63</v>
      </c>
      <c r="H32" s="84" t="s">
        <v>124</v>
      </c>
      <c r="I32" s="146">
        <v>363</v>
      </c>
      <c r="J32" s="155">
        <v>99.8</v>
      </c>
      <c r="K32" s="151">
        <v>98.7</v>
      </c>
      <c r="L32" s="148">
        <f t="shared" si="0"/>
        <v>198.5</v>
      </c>
      <c r="M32" s="85">
        <f t="shared" si="1"/>
        <v>0.54683195592286504</v>
      </c>
      <c r="N32" s="58"/>
    </row>
    <row r="33" spans="2:14" x14ac:dyDescent="0.25">
      <c r="B33" s="54"/>
      <c r="C33" s="82">
        <v>9</v>
      </c>
      <c r="D33" s="82">
        <v>13</v>
      </c>
      <c r="E33" s="137" t="s">
        <v>103</v>
      </c>
      <c r="F33" s="143" t="s">
        <v>132</v>
      </c>
      <c r="G33" s="140" t="s">
        <v>63</v>
      </c>
      <c r="H33" s="84" t="s">
        <v>116</v>
      </c>
      <c r="I33" s="146">
        <v>341</v>
      </c>
      <c r="J33" s="155">
        <v>97.8</v>
      </c>
      <c r="K33" s="151">
        <v>96.7</v>
      </c>
      <c r="L33" s="148">
        <f t="shared" si="0"/>
        <v>194.5</v>
      </c>
      <c r="M33" s="85">
        <f t="shared" si="1"/>
        <v>0.5703812316715543</v>
      </c>
      <c r="N33" s="58"/>
    </row>
    <row r="34" spans="2:14" x14ac:dyDescent="0.25">
      <c r="B34" s="54"/>
      <c r="C34" s="82">
        <v>10</v>
      </c>
      <c r="D34" s="82">
        <v>5</v>
      </c>
      <c r="E34" s="137" t="s">
        <v>103</v>
      </c>
      <c r="F34" s="143" t="s">
        <v>132</v>
      </c>
      <c r="G34" s="140" t="s">
        <v>63</v>
      </c>
      <c r="H34" s="84" t="s">
        <v>108</v>
      </c>
      <c r="I34" s="146">
        <v>337</v>
      </c>
      <c r="J34" s="155">
        <v>96.9</v>
      </c>
      <c r="K34" s="151">
        <v>96.9</v>
      </c>
      <c r="L34" s="148">
        <f t="shared" si="0"/>
        <v>193.8</v>
      </c>
      <c r="M34" s="85">
        <f t="shared" si="1"/>
        <v>0.5750741839762612</v>
      </c>
      <c r="N34" s="58"/>
    </row>
    <row r="35" spans="2:14" x14ac:dyDescent="0.25">
      <c r="B35" s="54"/>
      <c r="C35" s="83">
        <v>11</v>
      </c>
      <c r="D35" s="82">
        <v>25</v>
      </c>
      <c r="E35" s="138" t="s">
        <v>101</v>
      </c>
      <c r="F35" s="143" t="s">
        <v>132</v>
      </c>
      <c r="G35" s="140" t="s">
        <v>63</v>
      </c>
      <c r="H35" s="84" t="s">
        <v>128</v>
      </c>
      <c r="I35" s="146">
        <v>375</v>
      </c>
      <c r="J35" s="156">
        <v>107.6</v>
      </c>
      <c r="K35" s="152">
        <v>106.3</v>
      </c>
      <c r="L35" s="160">
        <f t="shared" si="0"/>
        <v>213.89999999999998</v>
      </c>
      <c r="M35" s="85">
        <f t="shared" si="1"/>
        <v>0.57039999999999991</v>
      </c>
      <c r="N35" s="58"/>
    </row>
    <row r="36" spans="2:14" x14ac:dyDescent="0.25">
      <c r="B36" s="54"/>
      <c r="C36" s="82">
        <v>12</v>
      </c>
      <c r="D36" s="82">
        <v>19</v>
      </c>
      <c r="E36" s="137" t="s">
        <v>101</v>
      </c>
      <c r="F36" s="143" t="s">
        <v>132</v>
      </c>
      <c r="G36" s="140" t="s">
        <v>63</v>
      </c>
      <c r="H36" s="87" t="s">
        <v>122</v>
      </c>
      <c r="I36" s="147">
        <v>360</v>
      </c>
      <c r="J36" s="156">
        <v>103.5</v>
      </c>
      <c r="K36" s="152">
        <v>102.9</v>
      </c>
      <c r="L36" s="148">
        <f t="shared" si="0"/>
        <v>206.4</v>
      </c>
      <c r="M36" s="85">
        <f t="shared" si="1"/>
        <v>0.57333333333333336</v>
      </c>
      <c r="N36" s="58"/>
    </row>
    <row r="37" spans="2:14" x14ac:dyDescent="0.25">
      <c r="B37" s="54"/>
      <c r="C37" s="83">
        <v>13</v>
      </c>
      <c r="D37" s="82">
        <v>28</v>
      </c>
      <c r="E37" s="138" t="s">
        <v>103</v>
      </c>
      <c r="F37" s="143" t="s">
        <v>132</v>
      </c>
      <c r="G37" s="140" t="s">
        <v>63</v>
      </c>
      <c r="H37" s="84" t="s">
        <v>131</v>
      </c>
      <c r="I37" s="146">
        <v>352</v>
      </c>
      <c r="J37" s="155">
        <v>101.6</v>
      </c>
      <c r="K37" s="151">
        <v>101.2</v>
      </c>
      <c r="L37" s="148">
        <f t="shared" si="0"/>
        <v>202.8</v>
      </c>
      <c r="M37" s="85">
        <f t="shared" si="1"/>
        <v>0.57613636363636367</v>
      </c>
      <c r="N37" s="58"/>
    </row>
    <row r="38" spans="2:14" x14ac:dyDescent="0.25">
      <c r="B38" s="54"/>
      <c r="C38" s="82">
        <v>14</v>
      </c>
      <c r="D38" s="82">
        <v>9</v>
      </c>
      <c r="E38" s="137" t="s">
        <v>101</v>
      </c>
      <c r="F38" s="143" t="s">
        <v>132</v>
      </c>
      <c r="G38" s="140" t="s">
        <v>63</v>
      </c>
      <c r="H38" s="84" t="s">
        <v>112</v>
      </c>
      <c r="I38" s="146">
        <v>382</v>
      </c>
      <c r="J38" s="155">
        <v>109.2</v>
      </c>
      <c r="K38" s="151">
        <v>108.2</v>
      </c>
      <c r="L38" s="160">
        <f t="shared" si="0"/>
        <v>217.4</v>
      </c>
      <c r="M38" s="85">
        <f t="shared" si="1"/>
        <v>0.56910994764397904</v>
      </c>
      <c r="N38" s="58"/>
    </row>
    <row r="39" spans="2:14" x14ac:dyDescent="0.25">
      <c r="B39" s="54"/>
      <c r="C39" s="82">
        <v>15</v>
      </c>
      <c r="D39" s="82">
        <v>1</v>
      </c>
      <c r="E39" s="137" t="s">
        <v>101</v>
      </c>
      <c r="F39" s="143" t="s">
        <v>132</v>
      </c>
      <c r="G39" s="140" t="s">
        <v>63</v>
      </c>
      <c r="H39" s="84" t="s">
        <v>104</v>
      </c>
      <c r="I39" s="146">
        <v>380</v>
      </c>
      <c r="J39" s="155">
        <v>108.3</v>
      </c>
      <c r="K39" s="151">
        <v>108.9</v>
      </c>
      <c r="L39" s="160">
        <f t="shared" si="0"/>
        <v>217.2</v>
      </c>
      <c r="M39" s="86">
        <f t="shared" si="1"/>
        <v>0.57157894736842108</v>
      </c>
      <c r="N39" s="58"/>
    </row>
    <row r="40" spans="2:14" x14ac:dyDescent="0.25">
      <c r="B40" s="54"/>
      <c r="C40" s="83">
        <v>16</v>
      </c>
      <c r="D40" s="82">
        <v>14</v>
      </c>
      <c r="E40" s="138" t="s">
        <v>101</v>
      </c>
      <c r="F40" s="143" t="s">
        <v>132</v>
      </c>
      <c r="G40" s="140" t="s">
        <v>63</v>
      </c>
      <c r="H40" s="84" t="s">
        <v>117</v>
      </c>
      <c r="I40" s="146">
        <v>426</v>
      </c>
      <c r="J40" s="155">
        <v>127.2</v>
      </c>
      <c r="K40" s="151">
        <v>126.5</v>
      </c>
      <c r="L40" s="160">
        <f t="shared" si="0"/>
        <v>253.7</v>
      </c>
      <c r="M40" s="85">
        <f t="shared" si="1"/>
        <v>0.59553990610328633</v>
      </c>
      <c r="N40" s="58"/>
    </row>
    <row r="41" spans="2:14" x14ac:dyDescent="0.25">
      <c r="B41" s="54"/>
      <c r="C41" s="83">
        <v>17</v>
      </c>
      <c r="D41" s="82">
        <v>23</v>
      </c>
      <c r="E41" s="138" t="s">
        <v>101</v>
      </c>
      <c r="F41" s="143" t="s">
        <v>132</v>
      </c>
      <c r="G41" s="140" t="s">
        <v>63</v>
      </c>
      <c r="H41" s="84" t="s">
        <v>126</v>
      </c>
      <c r="I41" s="146">
        <v>386</v>
      </c>
      <c r="J41" s="155">
        <v>104.1</v>
      </c>
      <c r="K41" s="151">
        <v>103.6</v>
      </c>
      <c r="L41" s="148">
        <f t="shared" si="0"/>
        <v>207.7</v>
      </c>
      <c r="M41" s="85">
        <f t="shared" si="1"/>
        <v>0.53808290155440408</v>
      </c>
      <c r="N41" s="58"/>
    </row>
    <row r="42" spans="2:14" x14ac:dyDescent="0.25">
      <c r="B42" s="54"/>
      <c r="C42" s="82">
        <v>18</v>
      </c>
      <c r="D42" s="82">
        <v>3</v>
      </c>
      <c r="E42" s="137" t="s">
        <v>101</v>
      </c>
      <c r="F42" s="143" t="s">
        <v>132</v>
      </c>
      <c r="G42" s="140" t="s">
        <v>63</v>
      </c>
      <c r="H42" s="84" t="s">
        <v>106</v>
      </c>
      <c r="I42" s="146">
        <v>351</v>
      </c>
      <c r="J42" s="155">
        <v>98</v>
      </c>
      <c r="K42" s="151">
        <v>99</v>
      </c>
      <c r="L42" s="148">
        <f t="shared" si="0"/>
        <v>197</v>
      </c>
      <c r="M42" s="85">
        <f t="shared" si="1"/>
        <v>0.56125356125356129</v>
      </c>
      <c r="N42" s="58"/>
    </row>
    <row r="43" spans="2:14" x14ac:dyDescent="0.25">
      <c r="B43" s="54"/>
      <c r="C43" s="83">
        <v>19</v>
      </c>
      <c r="D43" s="82">
        <v>26</v>
      </c>
      <c r="E43" s="138" t="s">
        <v>101</v>
      </c>
      <c r="F43" s="143" t="s">
        <v>132</v>
      </c>
      <c r="G43" s="140" t="s">
        <v>63</v>
      </c>
      <c r="H43" s="84" t="s">
        <v>129</v>
      </c>
      <c r="I43" s="146">
        <v>427</v>
      </c>
      <c r="J43" s="155">
        <v>126.3</v>
      </c>
      <c r="K43" s="151">
        <v>126.1</v>
      </c>
      <c r="L43" s="160">
        <f t="shared" si="0"/>
        <v>252.39999999999998</v>
      </c>
      <c r="M43" s="85">
        <f t="shared" si="1"/>
        <v>0.59110070257611236</v>
      </c>
      <c r="N43" s="58"/>
    </row>
    <row r="44" spans="2:14" x14ac:dyDescent="0.25">
      <c r="B44" s="54"/>
      <c r="C44" s="82">
        <v>20</v>
      </c>
      <c r="D44" s="82">
        <v>22</v>
      </c>
      <c r="E44" s="137" t="s">
        <v>103</v>
      </c>
      <c r="F44" s="143" t="s">
        <v>132</v>
      </c>
      <c r="G44" s="140" t="s">
        <v>63</v>
      </c>
      <c r="H44" s="84" t="s">
        <v>125</v>
      </c>
      <c r="I44" s="146">
        <v>357</v>
      </c>
      <c r="J44" s="155">
        <v>102.5</v>
      </c>
      <c r="K44" s="151">
        <v>103</v>
      </c>
      <c r="L44" s="148">
        <f t="shared" si="0"/>
        <v>205.5</v>
      </c>
      <c r="M44" s="85">
        <f t="shared" si="1"/>
        <v>0.57563025210084029</v>
      </c>
      <c r="N44" s="58"/>
    </row>
    <row r="45" spans="2:14" x14ac:dyDescent="0.25">
      <c r="B45" s="54"/>
      <c r="C45" s="82">
        <v>21</v>
      </c>
      <c r="D45" s="82">
        <v>4</v>
      </c>
      <c r="E45" s="137" t="s">
        <v>101</v>
      </c>
      <c r="F45" s="143" t="s">
        <v>132</v>
      </c>
      <c r="G45" s="140" t="s">
        <v>63</v>
      </c>
      <c r="H45" s="84" t="s">
        <v>107</v>
      </c>
      <c r="I45" s="146">
        <v>363</v>
      </c>
      <c r="J45" s="155">
        <v>110.5</v>
      </c>
      <c r="K45" s="151">
        <v>110.8</v>
      </c>
      <c r="L45" s="160">
        <f t="shared" si="0"/>
        <v>221.3</v>
      </c>
      <c r="M45" s="85">
        <f t="shared" si="1"/>
        <v>0.60964187327823693</v>
      </c>
      <c r="N45" s="58"/>
    </row>
    <row r="46" spans="2:14" x14ac:dyDescent="0.25">
      <c r="B46" s="54"/>
      <c r="C46" s="83">
        <v>22</v>
      </c>
      <c r="D46" s="82">
        <v>10</v>
      </c>
      <c r="E46" s="138" t="s">
        <v>101</v>
      </c>
      <c r="F46" s="143" t="s">
        <v>132</v>
      </c>
      <c r="G46" s="140" t="s">
        <v>63</v>
      </c>
      <c r="H46" s="84" t="s">
        <v>113</v>
      </c>
      <c r="I46" s="146">
        <v>420</v>
      </c>
      <c r="J46" s="155">
        <v>126.1</v>
      </c>
      <c r="K46" s="151">
        <v>125.2</v>
      </c>
      <c r="L46" s="160">
        <f t="shared" si="0"/>
        <v>251.3</v>
      </c>
      <c r="M46" s="85">
        <f t="shared" si="1"/>
        <v>0.59833333333333338</v>
      </c>
      <c r="N46" s="58"/>
    </row>
    <row r="47" spans="2:14" x14ac:dyDescent="0.25">
      <c r="B47" s="54"/>
      <c r="C47" s="82">
        <v>23</v>
      </c>
      <c r="D47" s="82">
        <v>20</v>
      </c>
      <c r="E47" s="137" t="s">
        <v>102</v>
      </c>
      <c r="F47" s="143" t="s">
        <v>132</v>
      </c>
      <c r="G47" s="140" t="s">
        <v>63</v>
      </c>
      <c r="H47" s="84" t="s">
        <v>123</v>
      </c>
      <c r="I47" s="146">
        <v>446</v>
      </c>
      <c r="J47" s="155">
        <v>122.5</v>
      </c>
      <c r="K47" s="151">
        <v>122</v>
      </c>
      <c r="L47" s="160">
        <f t="shared" si="0"/>
        <v>244.5</v>
      </c>
      <c r="M47" s="85">
        <f t="shared" si="1"/>
        <v>0.5482062780269058</v>
      </c>
      <c r="N47" s="58"/>
    </row>
    <row r="48" spans="2:14" x14ac:dyDescent="0.25">
      <c r="B48" s="54"/>
      <c r="C48" s="82">
        <v>24</v>
      </c>
      <c r="D48" s="82">
        <v>16</v>
      </c>
      <c r="E48" s="137" t="s">
        <v>101</v>
      </c>
      <c r="F48" s="143" t="s">
        <v>132</v>
      </c>
      <c r="G48" s="140" t="s">
        <v>63</v>
      </c>
      <c r="H48" s="84" t="s">
        <v>119</v>
      </c>
      <c r="I48" s="146">
        <v>407</v>
      </c>
      <c r="J48" s="155">
        <v>121.4</v>
      </c>
      <c r="K48" s="151">
        <v>121.2</v>
      </c>
      <c r="L48" s="160">
        <f t="shared" si="0"/>
        <v>242.60000000000002</v>
      </c>
      <c r="M48" s="85">
        <f t="shared" si="1"/>
        <v>0.59606879606879615</v>
      </c>
      <c r="N48" s="58"/>
    </row>
    <row r="49" spans="2:14" x14ac:dyDescent="0.25">
      <c r="B49" s="54"/>
      <c r="C49" s="82">
        <v>25</v>
      </c>
      <c r="D49" s="82">
        <v>8</v>
      </c>
      <c r="E49" s="137" t="s">
        <v>102</v>
      </c>
      <c r="F49" s="143" t="s">
        <v>132</v>
      </c>
      <c r="G49" s="140" t="s">
        <v>63</v>
      </c>
      <c r="H49" s="84" t="s">
        <v>111</v>
      </c>
      <c r="I49" s="146">
        <v>381</v>
      </c>
      <c r="J49" s="155">
        <v>110.2</v>
      </c>
      <c r="K49" s="151">
        <v>110.3</v>
      </c>
      <c r="L49" s="160">
        <f t="shared" si="0"/>
        <v>220.5</v>
      </c>
      <c r="M49" s="85">
        <f t="shared" si="1"/>
        <v>0.57874015748031493</v>
      </c>
      <c r="N49" s="58"/>
    </row>
    <row r="50" spans="2:14" x14ac:dyDescent="0.25">
      <c r="B50" s="54"/>
      <c r="C50" s="82">
        <v>26</v>
      </c>
      <c r="D50" s="82">
        <v>12</v>
      </c>
      <c r="E50" s="137" t="s">
        <v>101</v>
      </c>
      <c r="F50" s="143" t="s">
        <v>132</v>
      </c>
      <c r="G50" s="140" t="s">
        <v>63</v>
      </c>
      <c r="H50" s="84" t="s">
        <v>115</v>
      </c>
      <c r="I50" s="146">
        <v>384</v>
      </c>
      <c r="J50" s="155">
        <v>107.6</v>
      </c>
      <c r="K50" s="151">
        <v>108.4</v>
      </c>
      <c r="L50" s="160">
        <f t="shared" si="0"/>
        <v>216</v>
      </c>
      <c r="M50" s="85">
        <f t="shared" si="1"/>
        <v>0.5625</v>
      </c>
      <c r="N50" s="58"/>
    </row>
    <row r="51" spans="2:14" x14ac:dyDescent="0.25">
      <c r="B51" s="54"/>
      <c r="C51" s="83">
        <v>27</v>
      </c>
      <c r="D51" s="82">
        <v>11</v>
      </c>
      <c r="E51" s="138" t="s">
        <v>101</v>
      </c>
      <c r="F51" s="143" t="s">
        <v>132</v>
      </c>
      <c r="G51" s="140" t="s">
        <v>63</v>
      </c>
      <c r="H51" s="84" t="s">
        <v>114</v>
      </c>
      <c r="I51" s="146">
        <v>337</v>
      </c>
      <c r="J51" s="155">
        <v>91.9</v>
      </c>
      <c r="K51" s="151">
        <v>92.8</v>
      </c>
      <c r="L51" s="148">
        <f t="shared" si="0"/>
        <v>184.7</v>
      </c>
      <c r="M51" s="85">
        <f t="shared" si="1"/>
        <v>0.5480712166172107</v>
      </c>
      <c r="N51" s="58"/>
    </row>
    <row r="52" spans="2:14" x14ac:dyDescent="0.25">
      <c r="B52" s="54"/>
      <c r="C52" s="82">
        <v>28</v>
      </c>
      <c r="D52" s="82">
        <v>17</v>
      </c>
      <c r="E52" s="137" t="s">
        <v>101</v>
      </c>
      <c r="F52" s="144" t="s">
        <v>132</v>
      </c>
      <c r="G52" s="140" t="s">
        <v>63</v>
      </c>
      <c r="H52" s="84" t="s">
        <v>120</v>
      </c>
      <c r="I52" s="146">
        <v>364</v>
      </c>
      <c r="J52" s="157">
        <v>107.8</v>
      </c>
      <c r="K52" s="153">
        <v>107.3</v>
      </c>
      <c r="L52" s="160">
        <f t="shared" si="0"/>
        <v>215.1</v>
      </c>
      <c r="M52" s="85">
        <f t="shared" si="1"/>
        <v>0.59093406593406594</v>
      </c>
      <c r="N52" s="58"/>
    </row>
    <row r="53" spans="2:14" x14ac:dyDescent="0.25">
      <c r="B53" s="54"/>
      <c r="C53" s="96"/>
      <c r="D53" s="96">
        <f>+COUNT($D$24:$D$52)</f>
        <v>28</v>
      </c>
      <c r="E53" s="96"/>
      <c r="F53" s="214"/>
      <c r="G53" s="215"/>
      <c r="H53" s="89"/>
      <c r="I53" s="90">
        <f>SUM($I$24:$I$52)</f>
        <v>10527</v>
      </c>
      <c r="J53" s="88">
        <f>SUM($J$24:$J$52)</f>
        <v>3014.5999999999995</v>
      </c>
      <c r="K53" s="149">
        <f>SUM($K$24:$K$52)</f>
        <v>3003.6000000000008</v>
      </c>
      <c r="L53" s="90">
        <f>SUM($L$24:$L$52)</f>
        <v>6018.2000000000007</v>
      </c>
      <c r="M53" s="91">
        <f t="shared" si="1"/>
        <v>0.57169184003039808</v>
      </c>
      <c r="N53" s="58"/>
    </row>
    <row r="54" spans="2:14" ht="16.5" thickBot="1" x14ac:dyDescent="0.3">
      <c r="B54" s="63"/>
      <c r="C54" s="64"/>
      <c r="D54" s="64"/>
      <c r="E54" s="64"/>
      <c r="F54" s="64"/>
      <c r="G54" s="64"/>
      <c r="H54" s="65"/>
      <c r="I54" s="64"/>
      <c r="J54" s="65"/>
      <c r="K54" s="64"/>
      <c r="L54" s="64"/>
      <c r="M54" s="64"/>
      <c r="N54" s="66"/>
    </row>
    <row r="55" spans="2:14" ht="17.25" thickTop="1" thickBot="1" x14ac:dyDescent="0.3">
      <c r="B55" s="51"/>
      <c r="C55" s="51"/>
      <c r="D55" s="51"/>
      <c r="E55" s="51"/>
      <c r="F55" s="51"/>
      <c r="G55" s="51"/>
      <c r="H55" s="52"/>
      <c r="I55" s="51"/>
      <c r="J55" s="52"/>
      <c r="K55" s="51"/>
      <c r="L55" s="51"/>
      <c r="M55" s="51"/>
      <c r="N55" s="51"/>
    </row>
    <row r="56" spans="2:14" ht="16.5" thickTop="1" x14ac:dyDescent="0.25">
      <c r="B56" s="50"/>
      <c r="C56" s="51"/>
      <c r="D56" s="51"/>
      <c r="E56" s="51"/>
      <c r="F56" s="51"/>
      <c r="G56" s="51"/>
      <c r="H56" s="52"/>
      <c r="I56" s="51"/>
      <c r="J56" s="52"/>
      <c r="K56" s="51"/>
      <c r="L56" s="51"/>
      <c r="M56" s="51"/>
      <c r="N56" s="53"/>
    </row>
    <row r="57" spans="2:14" ht="32.25" customHeight="1" x14ac:dyDescent="0.25">
      <c r="B57" s="54"/>
      <c r="D57" s="216" t="s">
        <v>83</v>
      </c>
      <c r="E57" s="217"/>
      <c r="F57" s="217"/>
      <c r="G57" s="217"/>
      <c r="H57" s="111" t="s">
        <v>84</v>
      </c>
      <c r="I57" s="112" t="s">
        <v>59</v>
      </c>
      <c r="J57" s="113" t="s">
        <v>85</v>
      </c>
      <c r="K57" s="114" t="s">
        <v>86</v>
      </c>
      <c r="N57" s="58"/>
    </row>
    <row r="58" spans="2:14" x14ac:dyDescent="0.25">
      <c r="B58" s="54"/>
      <c r="D58" s="218" t="s">
        <v>20</v>
      </c>
      <c r="E58" s="219"/>
      <c r="F58" s="219"/>
      <c r="G58" s="219"/>
      <c r="H58" s="115"/>
      <c r="J58" s="115"/>
      <c r="K58" s="116"/>
      <c r="N58" s="58"/>
    </row>
    <row r="59" spans="2:14" x14ac:dyDescent="0.25">
      <c r="B59" s="54"/>
      <c r="D59" s="218" t="s">
        <v>7</v>
      </c>
      <c r="E59" s="219"/>
      <c r="F59" s="219"/>
      <c r="G59" s="219"/>
      <c r="H59" s="115"/>
      <c r="J59" s="115"/>
      <c r="K59" s="116"/>
      <c r="N59" s="58"/>
    </row>
    <row r="60" spans="2:14" x14ac:dyDescent="0.25">
      <c r="B60" s="54"/>
      <c r="D60" s="218" t="s">
        <v>6</v>
      </c>
      <c r="E60" s="219"/>
      <c r="F60" s="219"/>
      <c r="G60" s="219"/>
      <c r="H60" s="115"/>
      <c r="J60" s="115"/>
      <c r="K60" s="116"/>
      <c r="N60" s="58"/>
    </row>
    <row r="61" spans="2:14" x14ac:dyDescent="0.25">
      <c r="B61" s="54"/>
      <c r="D61" s="218" t="s">
        <v>10</v>
      </c>
      <c r="E61" s="219"/>
      <c r="F61" s="219"/>
      <c r="G61" s="219"/>
      <c r="H61" s="115"/>
      <c r="J61" s="115"/>
      <c r="K61" s="116"/>
      <c r="N61" s="58"/>
    </row>
    <row r="62" spans="2:14" x14ac:dyDescent="0.25">
      <c r="B62" s="54"/>
      <c r="D62" s="218" t="s">
        <v>21</v>
      </c>
      <c r="E62" s="219"/>
      <c r="F62" s="219"/>
      <c r="G62" s="219"/>
      <c r="H62" s="115"/>
      <c r="J62" s="115"/>
      <c r="K62" s="116"/>
      <c r="N62" s="58"/>
    </row>
    <row r="63" spans="2:14" x14ac:dyDescent="0.25">
      <c r="B63" s="54"/>
      <c r="D63" s="218" t="s">
        <v>5</v>
      </c>
      <c r="E63" s="219"/>
      <c r="F63" s="219"/>
      <c r="G63" s="219"/>
      <c r="H63" s="115"/>
      <c r="J63" s="115"/>
      <c r="K63" s="116"/>
      <c r="N63" s="58"/>
    </row>
    <row r="64" spans="2:14" x14ac:dyDescent="0.25">
      <c r="B64" s="54"/>
      <c r="D64" s="218" t="s">
        <v>22</v>
      </c>
      <c r="E64" s="219"/>
      <c r="F64" s="219"/>
      <c r="G64" s="219"/>
      <c r="H64" s="115"/>
      <c r="J64" s="115"/>
      <c r="K64" s="116"/>
      <c r="N64" s="58"/>
    </row>
    <row r="65" spans="2:14" x14ac:dyDescent="0.25">
      <c r="B65" s="54"/>
      <c r="D65" s="218" t="s">
        <v>8</v>
      </c>
      <c r="E65" s="219"/>
      <c r="F65" s="219"/>
      <c r="G65" s="219"/>
      <c r="H65" s="115"/>
      <c r="J65" s="115"/>
      <c r="K65" s="116"/>
      <c r="N65" s="58"/>
    </row>
    <row r="66" spans="2:14" x14ac:dyDescent="0.25">
      <c r="B66" s="54"/>
      <c r="D66" s="218" t="s">
        <v>23</v>
      </c>
      <c r="E66" s="219"/>
      <c r="F66" s="219"/>
      <c r="G66" s="219"/>
      <c r="H66" s="115"/>
      <c r="J66" s="115"/>
      <c r="K66" s="116"/>
      <c r="N66" s="58"/>
    </row>
    <row r="67" spans="2:14" x14ac:dyDescent="0.25">
      <c r="B67" s="54"/>
      <c r="D67" s="218" t="s">
        <v>36</v>
      </c>
      <c r="E67" s="219"/>
      <c r="F67" s="219"/>
      <c r="G67" s="219"/>
      <c r="H67" s="115"/>
      <c r="J67" s="115"/>
      <c r="K67" s="116"/>
      <c r="N67" s="58"/>
    </row>
    <row r="68" spans="2:14" x14ac:dyDescent="0.25">
      <c r="B68" s="54"/>
      <c r="D68" s="218" t="s">
        <v>9</v>
      </c>
      <c r="E68" s="219"/>
      <c r="F68" s="219"/>
      <c r="G68" s="219"/>
      <c r="H68" s="115"/>
      <c r="J68" s="115"/>
      <c r="K68" s="116"/>
      <c r="N68" s="58"/>
    </row>
    <row r="69" spans="2:14" x14ac:dyDescent="0.25">
      <c r="B69" s="54"/>
      <c r="D69" s="218" t="s">
        <v>24</v>
      </c>
      <c r="E69" s="219"/>
      <c r="F69" s="219"/>
      <c r="G69" s="219"/>
      <c r="H69" s="115"/>
      <c r="J69" s="115"/>
      <c r="K69" s="116"/>
      <c r="N69" s="58"/>
    </row>
    <row r="70" spans="2:14" x14ac:dyDescent="0.25">
      <c r="B70" s="54"/>
      <c r="D70" s="218" t="s">
        <v>37</v>
      </c>
      <c r="E70" s="219"/>
      <c r="F70" s="219"/>
      <c r="G70" s="219"/>
      <c r="H70" s="115"/>
      <c r="J70" s="115"/>
      <c r="K70" s="116"/>
      <c r="N70" s="58"/>
    </row>
    <row r="71" spans="2:14" x14ac:dyDescent="0.25">
      <c r="B71" s="54"/>
      <c r="D71" s="223" t="s">
        <v>87</v>
      </c>
      <c r="E71" s="224"/>
      <c r="F71" s="224"/>
      <c r="G71" s="225"/>
      <c r="H71" s="117"/>
      <c r="I71" s="118">
        <f>SUM(I58:I70)</f>
        <v>0</v>
      </c>
      <c r="J71" s="119">
        <f>SUM(J58:J70)</f>
        <v>0</v>
      </c>
      <c r="K71" s="120">
        <f>SUM(K58:K70)</f>
        <v>0</v>
      </c>
      <c r="N71" s="58"/>
    </row>
    <row r="72" spans="2:14" ht="16.5" thickBot="1" x14ac:dyDescent="0.3">
      <c r="B72" s="63"/>
      <c r="C72" s="64"/>
      <c r="D72" s="64"/>
      <c r="E72" s="64"/>
      <c r="F72" s="64"/>
      <c r="G72" s="64"/>
      <c r="H72" s="65"/>
      <c r="I72" s="64"/>
      <c r="J72" s="65"/>
      <c r="K72" s="64"/>
      <c r="L72" s="64"/>
      <c r="M72" s="64"/>
      <c r="N72" s="66"/>
    </row>
    <row r="73" spans="2:14" ht="16.5" thickTop="1" x14ac:dyDescent="0.25">
      <c r="B73" s="54"/>
      <c r="G73" s="121"/>
      <c r="H73" s="122"/>
      <c r="I73" s="121"/>
      <c r="J73" s="122"/>
      <c r="N73" s="58"/>
    </row>
    <row r="74" spans="2:14" ht="15.75" customHeight="1" x14ac:dyDescent="0.25">
      <c r="B74" s="54"/>
      <c r="F74" s="226" t="s">
        <v>88</v>
      </c>
      <c r="G74" s="226"/>
      <c r="H74" s="123" t="s">
        <v>89</v>
      </c>
      <c r="I74" s="111" t="s">
        <v>77</v>
      </c>
      <c r="N74" s="58"/>
    </row>
    <row r="75" spans="2:14" x14ac:dyDescent="0.25">
      <c r="B75" s="54"/>
      <c r="F75" s="227" t="s">
        <v>35</v>
      </c>
      <c r="G75" s="227"/>
      <c r="H75" s="124"/>
      <c r="I75" s="125"/>
      <c r="N75" s="58"/>
    </row>
    <row r="76" spans="2:14" x14ac:dyDescent="0.25">
      <c r="B76" s="54"/>
      <c r="F76" s="220" t="s">
        <v>90</v>
      </c>
      <c r="G76" s="220"/>
      <c r="H76" s="126">
        <f>+D53</f>
        <v>28</v>
      </c>
      <c r="I76" s="127"/>
      <c r="N76" s="58"/>
    </row>
    <row r="77" spans="2:14" x14ac:dyDescent="0.25">
      <c r="B77" s="54"/>
      <c r="F77" s="220" t="s">
        <v>91</v>
      </c>
      <c r="G77" s="220"/>
      <c r="H77" s="128"/>
      <c r="I77" s="127"/>
      <c r="N77" s="58"/>
    </row>
    <row r="78" spans="2:14" x14ac:dyDescent="0.25">
      <c r="B78" s="54"/>
      <c r="F78" s="220" t="s">
        <v>92</v>
      </c>
      <c r="G78" s="220"/>
      <c r="H78" s="128"/>
      <c r="I78" s="127"/>
      <c r="N78" s="58"/>
    </row>
    <row r="79" spans="2:14" x14ac:dyDescent="0.25">
      <c r="B79" s="54"/>
      <c r="F79" s="221" t="s">
        <v>93</v>
      </c>
      <c r="G79" s="221"/>
      <c r="H79" s="129"/>
      <c r="I79" s="130"/>
      <c r="N79" s="58"/>
    </row>
    <row r="80" spans="2:14" x14ac:dyDescent="0.25">
      <c r="B80" s="54"/>
      <c r="F80" s="222" t="s">
        <v>87</v>
      </c>
      <c r="G80" s="222"/>
      <c r="H80" s="131"/>
      <c r="I80" s="117">
        <f>SUM(I75:I79)</f>
        <v>0</v>
      </c>
      <c r="N80" s="58"/>
    </row>
    <row r="81" spans="2:14" ht="16.5" thickBot="1" x14ac:dyDescent="0.3">
      <c r="B81" s="63"/>
      <c r="C81" s="64"/>
      <c r="D81" s="64"/>
      <c r="E81" s="64"/>
      <c r="F81" s="64"/>
      <c r="G81" s="64"/>
      <c r="H81" s="65"/>
      <c r="I81" s="64"/>
      <c r="J81" s="65"/>
      <c r="K81" s="64"/>
      <c r="L81" s="64"/>
      <c r="M81" s="64"/>
      <c r="N81" s="66"/>
    </row>
    <row r="82" spans="2:14" ht="16.5" thickTop="1" x14ac:dyDescent="0.25">
      <c r="I82" s="92"/>
    </row>
  </sheetData>
  <sortState ref="C25:I52">
    <sortCondition ref="C25"/>
  </sortState>
  <mergeCells count="53">
    <mergeCell ref="F78:G78"/>
    <mergeCell ref="F79:G79"/>
    <mergeCell ref="F80:G80"/>
    <mergeCell ref="D71:G71"/>
    <mergeCell ref="F74:G74"/>
    <mergeCell ref="F75:G75"/>
    <mergeCell ref="F76:G76"/>
    <mergeCell ref="F77:G77"/>
    <mergeCell ref="D66:G66"/>
    <mergeCell ref="D67:G67"/>
    <mergeCell ref="D68:G68"/>
    <mergeCell ref="D69:G69"/>
    <mergeCell ref="D70:G70"/>
    <mergeCell ref="D61:G61"/>
    <mergeCell ref="D62:G62"/>
    <mergeCell ref="D63:G63"/>
    <mergeCell ref="D64:G64"/>
    <mergeCell ref="D65:G65"/>
    <mergeCell ref="F53:G53"/>
    <mergeCell ref="D57:G57"/>
    <mergeCell ref="D58:G58"/>
    <mergeCell ref="D59:G59"/>
    <mergeCell ref="D60:G60"/>
    <mergeCell ref="C23:C24"/>
    <mergeCell ref="D23:D24"/>
    <mergeCell ref="E23:E24"/>
    <mergeCell ref="F23:G23"/>
    <mergeCell ref="H23:H24"/>
    <mergeCell ref="I23:I24"/>
    <mergeCell ref="J23:J24"/>
    <mergeCell ref="K23:K24"/>
    <mergeCell ref="L23:L24"/>
    <mergeCell ref="M23:M24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L9:M9"/>
    <mergeCell ref="E14:F14"/>
    <mergeCell ref="L10:M10"/>
    <mergeCell ref="C8:D8"/>
    <mergeCell ref="E8:H8"/>
    <mergeCell ref="C9:D9"/>
    <mergeCell ref="E9:H9"/>
    <mergeCell ref="J8:M8"/>
  </mergeCells>
  <conditionalFormatting sqref="M25:M52">
    <cfRule type="cellIs" dxfId="7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topLeftCell="A16" zoomScaleNormal="100" workbookViewId="0">
      <selection activeCell="E5" sqref="E5:F32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6" width="24.7109375" style="11" customWidth="1"/>
    <col min="7" max="7" width="10.85546875" bestFit="1" customWidth="1"/>
    <col min="8" max="8" width="14.42578125" bestFit="1" customWidth="1"/>
    <col min="9" max="9" width="12.85546875" bestFit="1" customWidth="1"/>
  </cols>
  <sheetData>
    <row r="1" spans="2:9" ht="10.5" customHeight="1" thickBot="1" x14ac:dyDescent="0.3"/>
    <row r="2" spans="2:9" ht="33.75" customHeight="1" thickBot="1" x14ac:dyDescent="0.3">
      <c r="B2" s="230"/>
      <c r="C2" s="231"/>
      <c r="D2" s="232"/>
      <c r="E2" s="228" t="s">
        <v>4</v>
      </c>
      <c r="F2" s="229"/>
    </row>
    <row r="3" spans="2:9" ht="18" customHeight="1" thickBot="1" x14ac:dyDescent="0.3">
      <c r="B3" s="233"/>
      <c r="C3" s="234"/>
      <c r="D3" s="235"/>
      <c r="E3" s="40" t="s">
        <v>43</v>
      </c>
      <c r="F3" s="47">
        <v>46146</v>
      </c>
    </row>
    <row r="4" spans="2:9" ht="15.75" thickBot="1" x14ac:dyDescent="0.3">
      <c r="B4" s="3" t="s">
        <v>0</v>
      </c>
      <c r="C4" s="3" t="s">
        <v>1</v>
      </c>
      <c r="D4" s="133" t="s">
        <v>14</v>
      </c>
      <c r="E4" s="5" t="s">
        <v>13</v>
      </c>
      <c r="F4" s="5" t="s">
        <v>12</v>
      </c>
      <c r="G4" s="1"/>
      <c r="H4" s="1"/>
      <c r="I4" s="1"/>
    </row>
    <row r="5" spans="2:9" ht="20.45" customHeight="1" x14ac:dyDescent="0.25">
      <c r="B5" s="94">
        <v>1</v>
      </c>
      <c r="C5" s="12">
        <v>173</v>
      </c>
      <c r="D5" s="134" t="s">
        <v>132</v>
      </c>
      <c r="E5" s="95">
        <v>111.8</v>
      </c>
      <c r="F5" s="95">
        <v>110.1</v>
      </c>
    </row>
    <row r="6" spans="2:9" ht="20.45" customHeight="1" x14ac:dyDescent="0.25">
      <c r="B6" s="7">
        <f>+B5+1</f>
        <v>2</v>
      </c>
      <c r="C6" s="16">
        <v>173</v>
      </c>
      <c r="D6" s="135" t="s">
        <v>132</v>
      </c>
      <c r="E6" s="42">
        <v>105.5</v>
      </c>
      <c r="F6" s="42">
        <v>104.9</v>
      </c>
    </row>
    <row r="7" spans="2:9" ht="20.45" customHeight="1" x14ac:dyDescent="0.25">
      <c r="B7" s="7">
        <f t="shared" ref="B7:B34" si="0">+B6+1</f>
        <v>3</v>
      </c>
      <c r="C7" s="16">
        <v>173</v>
      </c>
      <c r="D7" s="135" t="s">
        <v>132</v>
      </c>
      <c r="E7" s="42">
        <v>106.8</v>
      </c>
      <c r="F7" s="42">
        <v>106.5</v>
      </c>
    </row>
    <row r="8" spans="2:9" ht="20.45" customHeight="1" x14ac:dyDescent="0.25">
      <c r="B8" s="7">
        <f t="shared" si="0"/>
        <v>4</v>
      </c>
      <c r="C8" s="16">
        <v>173</v>
      </c>
      <c r="D8" s="135" t="s">
        <v>132</v>
      </c>
      <c r="E8" s="42">
        <v>110</v>
      </c>
      <c r="F8" s="42">
        <v>109.2</v>
      </c>
    </row>
    <row r="9" spans="2:9" ht="20.45" customHeight="1" x14ac:dyDescent="0.25">
      <c r="B9" s="7">
        <f t="shared" si="0"/>
        <v>5</v>
      </c>
      <c r="C9" s="16">
        <v>173</v>
      </c>
      <c r="D9" s="135" t="s">
        <v>132</v>
      </c>
      <c r="E9" s="42">
        <v>102.4</v>
      </c>
      <c r="F9" s="42">
        <v>100.4</v>
      </c>
    </row>
    <row r="10" spans="2:9" ht="20.45" customHeight="1" x14ac:dyDescent="0.25">
      <c r="B10" s="7">
        <f t="shared" si="0"/>
        <v>6</v>
      </c>
      <c r="C10" s="16">
        <v>173</v>
      </c>
      <c r="D10" s="135" t="s">
        <v>132</v>
      </c>
      <c r="E10" s="42">
        <v>93.7</v>
      </c>
      <c r="F10" s="42">
        <v>93.1</v>
      </c>
    </row>
    <row r="11" spans="2:9" ht="20.45" customHeight="1" x14ac:dyDescent="0.25">
      <c r="B11" s="7">
        <f t="shared" si="0"/>
        <v>7</v>
      </c>
      <c r="C11" s="16">
        <v>173</v>
      </c>
      <c r="D11" s="135" t="s">
        <v>132</v>
      </c>
      <c r="E11" s="42">
        <v>103.6</v>
      </c>
      <c r="F11" s="42">
        <v>103.4</v>
      </c>
    </row>
    <row r="12" spans="2:9" ht="20.45" customHeight="1" x14ac:dyDescent="0.25">
      <c r="B12" s="7">
        <f t="shared" si="0"/>
        <v>8</v>
      </c>
      <c r="C12" s="16">
        <v>173</v>
      </c>
      <c r="D12" s="135" t="s">
        <v>132</v>
      </c>
      <c r="E12" s="42">
        <v>99.8</v>
      </c>
      <c r="F12" s="42">
        <v>98.7</v>
      </c>
    </row>
    <row r="13" spans="2:9" ht="20.45" customHeight="1" x14ac:dyDescent="0.25">
      <c r="B13" s="7">
        <f t="shared" si="0"/>
        <v>9</v>
      </c>
      <c r="C13" s="16">
        <v>173</v>
      </c>
      <c r="D13" s="135" t="s">
        <v>132</v>
      </c>
      <c r="E13" s="42">
        <v>97.8</v>
      </c>
      <c r="F13" s="42">
        <v>96.7</v>
      </c>
    </row>
    <row r="14" spans="2:9" ht="20.45" customHeight="1" x14ac:dyDescent="0.25">
      <c r="B14" s="7">
        <f t="shared" si="0"/>
        <v>10</v>
      </c>
      <c r="C14" s="16">
        <v>173</v>
      </c>
      <c r="D14" s="135" t="s">
        <v>132</v>
      </c>
      <c r="E14" s="42">
        <v>96.9</v>
      </c>
      <c r="F14" s="42">
        <v>96.9</v>
      </c>
    </row>
    <row r="15" spans="2:9" ht="20.45" customHeight="1" x14ac:dyDescent="0.25">
      <c r="B15" s="7">
        <f t="shared" si="0"/>
        <v>11</v>
      </c>
      <c r="C15" s="16">
        <v>173</v>
      </c>
      <c r="D15" s="135" t="s">
        <v>132</v>
      </c>
      <c r="E15" s="43">
        <v>107.6</v>
      </c>
      <c r="F15" s="43">
        <v>106.3</v>
      </c>
    </row>
    <row r="16" spans="2:9" ht="20.45" customHeight="1" x14ac:dyDescent="0.25">
      <c r="B16" s="7">
        <f t="shared" si="0"/>
        <v>12</v>
      </c>
      <c r="C16" s="16">
        <v>173</v>
      </c>
      <c r="D16" s="135" t="s">
        <v>132</v>
      </c>
      <c r="E16" s="43">
        <v>103.5</v>
      </c>
      <c r="F16" s="43">
        <v>102.9</v>
      </c>
    </row>
    <row r="17" spans="2:6" ht="20.45" customHeight="1" x14ac:dyDescent="0.25">
      <c r="B17" s="7">
        <f t="shared" si="0"/>
        <v>13</v>
      </c>
      <c r="C17" s="16">
        <v>173</v>
      </c>
      <c r="D17" s="135" t="s">
        <v>132</v>
      </c>
      <c r="E17" s="42">
        <v>101.6</v>
      </c>
      <c r="F17" s="42">
        <v>101.2</v>
      </c>
    </row>
    <row r="18" spans="2:6" ht="20.45" customHeight="1" x14ac:dyDescent="0.25">
      <c r="B18" s="7">
        <f t="shared" si="0"/>
        <v>14</v>
      </c>
      <c r="C18" s="16">
        <v>173</v>
      </c>
      <c r="D18" s="135" t="s">
        <v>132</v>
      </c>
      <c r="E18" s="42">
        <v>109.2</v>
      </c>
      <c r="F18" s="42">
        <v>108.2</v>
      </c>
    </row>
    <row r="19" spans="2:6" ht="20.45" customHeight="1" x14ac:dyDescent="0.25">
      <c r="B19" s="7">
        <f t="shared" si="0"/>
        <v>15</v>
      </c>
      <c r="C19" s="16">
        <v>173</v>
      </c>
      <c r="D19" s="135" t="s">
        <v>132</v>
      </c>
      <c r="E19" s="42">
        <v>108.3</v>
      </c>
      <c r="F19" s="42">
        <v>108.9</v>
      </c>
    </row>
    <row r="20" spans="2:6" ht="20.45" customHeight="1" x14ac:dyDescent="0.25">
      <c r="B20" s="7">
        <f t="shared" si="0"/>
        <v>16</v>
      </c>
      <c r="C20" s="16">
        <v>173</v>
      </c>
      <c r="D20" s="135" t="s">
        <v>132</v>
      </c>
      <c r="E20" s="42">
        <v>127.2</v>
      </c>
      <c r="F20" s="42">
        <v>126.5</v>
      </c>
    </row>
    <row r="21" spans="2:6" ht="20.45" customHeight="1" x14ac:dyDescent="0.25">
      <c r="B21" s="7">
        <f t="shared" si="0"/>
        <v>17</v>
      </c>
      <c r="C21" s="16">
        <v>173</v>
      </c>
      <c r="D21" s="135" t="s">
        <v>132</v>
      </c>
      <c r="E21" s="42">
        <v>104.1</v>
      </c>
      <c r="F21" s="42">
        <v>103.6</v>
      </c>
    </row>
    <row r="22" spans="2:6" ht="20.45" customHeight="1" x14ac:dyDescent="0.25">
      <c r="B22" s="7">
        <f t="shared" si="0"/>
        <v>18</v>
      </c>
      <c r="C22" s="16">
        <v>173</v>
      </c>
      <c r="D22" s="135" t="s">
        <v>132</v>
      </c>
      <c r="E22" s="42">
        <v>98</v>
      </c>
      <c r="F22" s="42">
        <v>99</v>
      </c>
    </row>
    <row r="23" spans="2:6" ht="20.45" customHeight="1" x14ac:dyDescent="0.25">
      <c r="B23" s="7">
        <f t="shared" si="0"/>
        <v>19</v>
      </c>
      <c r="C23" s="16">
        <v>173</v>
      </c>
      <c r="D23" s="135" t="s">
        <v>132</v>
      </c>
      <c r="E23" s="42">
        <v>126.3</v>
      </c>
      <c r="F23" s="42">
        <v>126.1</v>
      </c>
    </row>
    <row r="24" spans="2:6" ht="20.45" customHeight="1" x14ac:dyDescent="0.25">
      <c r="B24" s="7">
        <f t="shared" si="0"/>
        <v>20</v>
      </c>
      <c r="C24" s="16">
        <v>173</v>
      </c>
      <c r="D24" s="135" t="s">
        <v>132</v>
      </c>
      <c r="E24" s="42">
        <v>102.5</v>
      </c>
      <c r="F24" s="42">
        <v>103</v>
      </c>
    </row>
    <row r="25" spans="2:6" ht="20.45" customHeight="1" x14ac:dyDescent="0.25">
      <c r="B25" s="7">
        <f t="shared" si="0"/>
        <v>21</v>
      </c>
      <c r="C25" s="16">
        <v>173</v>
      </c>
      <c r="D25" s="135" t="s">
        <v>132</v>
      </c>
      <c r="E25" s="42">
        <v>110.5</v>
      </c>
      <c r="F25" s="42">
        <v>110.8</v>
      </c>
    </row>
    <row r="26" spans="2:6" ht="20.45" customHeight="1" x14ac:dyDescent="0.25">
      <c r="B26" s="7">
        <f t="shared" si="0"/>
        <v>22</v>
      </c>
      <c r="C26" s="16">
        <v>173</v>
      </c>
      <c r="D26" s="135" t="s">
        <v>132</v>
      </c>
      <c r="E26" s="42">
        <v>126.1</v>
      </c>
      <c r="F26" s="42">
        <v>125.2</v>
      </c>
    </row>
    <row r="27" spans="2:6" ht="20.45" customHeight="1" x14ac:dyDescent="0.25">
      <c r="B27" s="7">
        <f t="shared" si="0"/>
        <v>23</v>
      </c>
      <c r="C27" s="16">
        <v>173</v>
      </c>
      <c r="D27" s="135" t="s">
        <v>132</v>
      </c>
      <c r="E27" s="42">
        <v>122.5</v>
      </c>
      <c r="F27" s="42">
        <v>122</v>
      </c>
    </row>
    <row r="28" spans="2:6" ht="20.45" customHeight="1" x14ac:dyDescent="0.25">
      <c r="B28" s="7">
        <f t="shared" si="0"/>
        <v>24</v>
      </c>
      <c r="C28" s="16">
        <v>173</v>
      </c>
      <c r="D28" s="135" t="s">
        <v>132</v>
      </c>
      <c r="E28" s="42">
        <v>121.4</v>
      </c>
      <c r="F28" s="42">
        <v>121.2</v>
      </c>
    </row>
    <row r="29" spans="2:6" ht="20.45" customHeight="1" x14ac:dyDescent="0.25">
      <c r="B29" s="7">
        <f t="shared" si="0"/>
        <v>25</v>
      </c>
      <c r="C29" s="16">
        <v>173</v>
      </c>
      <c r="D29" s="135" t="s">
        <v>132</v>
      </c>
      <c r="E29" s="42">
        <v>110.2</v>
      </c>
      <c r="F29" s="42">
        <v>110.3</v>
      </c>
    </row>
    <row r="30" spans="2:6" ht="20.45" customHeight="1" x14ac:dyDescent="0.25">
      <c r="B30" s="7">
        <f t="shared" si="0"/>
        <v>26</v>
      </c>
      <c r="C30" s="16">
        <v>173</v>
      </c>
      <c r="D30" s="135" t="s">
        <v>132</v>
      </c>
      <c r="E30" s="42">
        <v>107.6</v>
      </c>
      <c r="F30" s="42">
        <v>108.4</v>
      </c>
    </row>
    <row r="31" spans="2:6" ht="20.45" customHeight="1" x14ac:dyDescent="0.25">
      <c r="B31" s="7">
        <f t="shared" si="0"/>
        <v>27</v>
      </c>
      <c r="C31" s="16">
        <v>173</v>
      </c>
      <c r="D31" s="135" t="s">
        <v>132</v>
      </c>
      <c r="E31" s="42">
        <v>91.9</v>
      </c>
      <c r="F31" s="42">
        <v>92.8</v>
      </c>
    </row>
    <row r="32" spans="2:6" ht="20.45" customHeight="1" x14ac:dyDescent="0.25">
      <c r="B32" s="7">
        <f t="shared" si="0"/>
        <v>28</v>
      </c>
      <c r="C32" s="13">
        <v>173</v>
      </c>
      <c r="D32" s="135" t="s">
        <v>132</v>
      </c>
      <c r="E32" s="42">
        <v>107.8</v>
      </c>
      <c r="F32" s="42">
        <v>107.3</v>
      </c>
    </row>
    <row r="33" spans="2:6" ht="20.45" customHeight="1" x14ac:dyDescent="0.25">
      <c r="B33" s="7">
        <f t="shared" si="0"/>
        <v>29</v>
      </c>
      <c r="C33" s="13"/>
      <c r="D33" s="14"/>
      <c r="E33" s="42"/>
      <c r="F33" s="42"/>
    </row>
    <row r="34" spans="2:6" ht="20.45" customHeight="1" thickBot="1" x14ac:dyDescent="0.3">
      <c r="B34" s="8">
        <f t="shared" si="0"/>
        <v>30</v>
      </c>
      <c r="C34" s="15"/>
      <c r="D34" s="93"/>
      <c r="E34" s="44"/>
      <c r="F34" s="44"/>
    </row>
    <row r="35" spans="2:6" ht="20.45" customHeight="1" x14ac:dyDescent="0.25"/>
    <row r="36" spans="2:6" x14ac:dyDescent="0.25">
      <c r="B36" s="23" t="s">
        <v>46</v>
      </c>
      <c r="C36" s="25" t="s">
        <v>34</v>
      </c>
      <c r="D36" s="24" t="s">
        <v>47</v>
      </c>
      <c r="E36" s="25" t="s">
        <v>34</v>
      </c>
      <c r="F36" s="24" t="s">
        <v>47</v>
      </c>
    </row>
    <row r="37" spans="2:6" x14ac:dyDescent="0.25">
      <c r="B37" s="23">
        <v>173</v>
      </c>
      <c r="C37" s="25">
        <v>28</v>
      </c>
      <c r="D37" s="25" t="s">
        <v>98</v>
      </c>
      <c r="E37" s="24"/>
      <c r="F37" s="24"/>
    </row>
    <row r="38" spans="2:6" x14ac:dyDescent="0.25">
      <c r="B38" s="23"/>
      <c r="C38" s="25"/>
      <c r="D38" s="25"/>
      <c r="E38" s="24"/>
      <c r="F38" s="24"/>
    </row>
    <row r="39" spans="2:6" x14ac:dyDescent="0.25">
      <c r="B39" s="23"/>
      <c r="C39" s="25"/>
      <c r="D39" s="25"/>
      <c r="E39" s="24"/>
      <c r="F39" s="24"/>
    </row>
  </sheetData>
  <mergeCells count="2">
    <mergeCell ref="E2:F2"/>
    <mergeCell ref="B2:D3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zoomScaleNormal="100" workbookViewId="0">
      <selection activeCell="E12" sqref="E12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5" width="47" style="11" customWidth="1"/>
    <col min="6" max="6" width="10.85546875" bestFit="1" customWidth="1"/>
    <col min="7" max="7" width="14.42578125" bestFit="1" customWidth="1"/>
    <col min="8" max="8" width="12.85546875" bestFit="1" customWidth="1"/>
  </cols>
  <sheetData>
    <row r="1" spans="2:8" ht="10.5" customHeight="1" thickBot="1" x14ac:dyDescent="0.3"/>
    <row r="2" spans="2:8" ht="33.75" customHeight="1" thickBot="1" x14ac:dyDescent="0.3">
      <c r="B2" s="230"/>
      <c r="C2" s="231"/>
      <c r="D2" s="232"/>
      <c r="E2" s="45" t="s">
        <v>4</v>
      </c>
    </row>
    <row r="3" spans="2:8" ht="18" customHeight="1" thickBot="1" x14ac:dyDescent="0.3">
      <c r="B3" s="233"/>
      <c r="C3" s="234"/>
      <c r="D3" s="235"/>
      <c r="E3" s="46" t="s">
        <v>99</v>
      </c>
    </row>
    <row r="4" spans="2:8" ht="15.75" thickBot="1" x14ac:dyDescent="0.3">
      <c r="B4" s="3" t="s">
        <v>41</v>
      </c>
      <c r="C4" s="3" t="s">
        <v>1</v>
      </c>
      <c r="D4" s="4" t="s">
        <v>14</v>
      </c>
      <c r="E4" s="5" t="s">
        <v>42</v>
      </c>
      <c r="F4" s="1"/>
      <c r="G4" s="1"/>
      <c r="H4" s="1"/>
    </row>
    <row r="5" spans="2:8" ht="20.45" customHeight="1" x14ac:dyDescent="0.25">
      <c r="B5" s="6">
        <v>1</v>
      </c>
      <c r="C5" s="16">
        <v>173</v>
      </c>
      <c r="D5" s="134" t="s">
        <v>132</v>
      </c>
      <c r="E5" s="41">
        <v>2</v>
      </c>
    </row>
    <row r="6" spans="2:8" ht="20.45" customHeight="1" x14ac:dyDescent="0.25">
      <c r="B6" s="7">
        <f>+B5+1</f>
        <v>2</v>
      </c>
      <c r="C6" s="16">
        <v>173</v>
      </c>
      <c r="D6" s="135" t="s">
        <v>132</v>
      </c>
      <c r="E6" s="42">
        <v>2</v>
      </c>
    </row>
    <row r="7" spans="2:8" ht="20.45" customHeight="1" x14ac:dyDescent="0.25">
      <c r="B7" s="7">
        <f t="shared" ref="B7:B33" si="0">+B6+1</f>
        <v>3</v>
      </c>
      <c r="C7" s="16">
        <v>173</v>
      </c>
      <c r="D7" s="135" t="s">
        <v>132</v>
      </c>
      <c r="E7" s="42">
        <v>2</v>
      </c>
    </row>
    <row r="8" spans="2:8" ht="20.45" customHeight="1" x14ac:dyDescent="0.25">
      <c r="B8" s="7">
        <f t="shared" si="0"/>
        <v>4</v>
      </c>
      <c r="C8" s="16">
        <v>173</v>
      </c>
      <c r="D8" s="135" t="s">
        <v>132</v>
      </c>
      <c r="E8" s="42">
        <v>2</v>
      </c>
    </row>
    <row r="9" spans="2:8" ht="20.45" customHeight="1" x14ac:dyDescent="0.25">
      <c r="B9" s="7">
        <f t="shared" si="0"/>
        <v>5</v>
      </c>
      <c r="C9" s="16">
        <v>173</v>
      </c>
      <c r="D9" s="135" t="s">
        <v>132</v>
      </c>
      <c r="E9" s="42">
        <v>2</v>
      </c>
    </row>
    <row r="10" spans="2:8" ht="20.45" customHeight="1" x14ac:dyDescent="0.25">
      <c r="B10" s="7">
        <f t="shared" si="0"/>
        <v>6</v>
      </c>
      <c r="C10" s="16">
        <v>173</v>
      </c>
      <c r="D10" s="135" t="s">
        <v>132</v>
      </c>
      <c r="E10" s="42">
        <v>2</v>
      </c>
    </row>
    <row r="11" spans="2:8" ht="20.45" customHeight="1" x14ac:dyDescent="0.25">
      <c r="B11" s="7">
        <f t="shared" si="0"/>
        <v>7</v>
      </c>
      <c r="C11" s="16">
        <v>173</v>
      </c>
      <c r="D11" s="135" t="s">
        <v>132</v>
      </c>
      <c r="E11" s="42">
        <v>2</v>
      </c>
    </row>
    <row r="12" spans="2:8" ht="20.45" customHeight="1" x14ac:dyDescent="0.25">
      <c r="B12" s="7">
        <f t="shared" si="0"/>
        <v>8</v>
      </c>
      <c r="C12" s="16">
        <v>173</v>
      </c>
      <c r="D12" s="135" t="s">
        <v>132</v>
      </c>
      <c r="E12" s="42">
        <v>2</v>
      </c>
    </row>
    <row r="13" spans="2:8" ht="20.45" customHeight="1" x14ac:dyDescent="0.25">
      <c r="B13" s="7">
        <f t="shared" si="0"/>
        <v>9</v>
      </c>
      <c r="C13" s="16">
        <v>173</v>
      </c>
      <c r="D13" s="135" t="s">
        <v>132</v>
      </c>
      <c r="E13" s="42">
        <v>2</v>
      </c>
    </row>
    <row r="14" spans="2:8" ht="20.45" customHeight="1" x14ac:dyDescent="0.25">
      <c r="B14" s="7">
        <f t="shared" si="0"/>
        <v>10</v>
      </c>
      <c r="C14" s="16">
        <v>173</v>
      </c>
      <c r="D14" s="135" t="s">
        <v>132</v>
      </c>
      <c r="E14" s="42">
        <v>2</v>
      </c>
    </row>
    <row r="15" spans="2:8" ht="20.45" customHeight="1" x14ac:dyDescent="0.25">
      <c r="B15" s="7">
        <f t="shared" si="0"/>
        <v>11</v>
      </c>
      <c r="C15" s="16">
        <v>173</v>
      </c>
      <c r="D15" s="135" t="s">
        <v>132</v>
      </c>
      <c r="E15" s="43">
        <v>2</v>
      </c>
    </row>
    <row r="16" spans="2:8" ht="20.45" customHeight="1" x14ac:dyDescent="0.25">
      <c r="B16" s="7">
        <f t="shared" si="0"/>
        <v>12</v>
      </c>
      <c r="C16" s="16">
        <v>173</v>
      </c>
      <c r="D16" s="135" t="s">
        <v>132</v>
      </c>
      <c r="E16" s="43">
        <v>2</v>
      </c>
    </row>
    <row r="17" spans="2:5" ht="20.45" customHeight="1" x14ac:dyDescent="0.25">
      <c r="B17" s="7">
        <f t="shared" si="0"/>
        <v>13</v>
      </c>
      <c r="C17" s="16">
        <v>173</v>
      </c>
      <c r="D17" s="135" t="s">
        <v>132</v>
      </c>
      <c r="E17" s="42">
        <v>2</v>
      </c>
    </row>
    <row r="18" spans="2:5" ht="20.45" customHeight="1" x14ac:dyDescent="0.25">
      <c r="B18" s="7">
        <f t="shared" si="0"/>
        <v>14</v>
      </c>
      <c r="C18" s="16">
        <v>173</v>
      </c>
      <c r="D18" s="135" t="s">
        <v>132</v>
      </c>
      <c r="E18" s="42">
        <v>2</v>
      </c>
    </row>
    <row r="19" spans="2:5" ht="20.45" customHeight="1" x14ac:dyDescent="0.25">
      <c r="B19" s="7">
        <f t="shared" si="0"/>
        <v>15</v>
      </c>
      <c r="C19" s="16">
        <v>173</v>
      </c>
      <c r="D19" s="135" t="s">
        <v>132</v>
      </c>
      <c r="E19" s="42">
        <v>2</v>
      </c>
    </row>
    <row r="20" spans="2:5" ht="20.45" customHeight="1" x14ac:dyDescent="0.25">
      <c r="B20" s="7">
        <f t="shared" si="0"/>
        <v>16</v>
      </c>
      <c r="C20" s="16">
        <v>173</v>
      </c>
      <c r="D20" s="135" t="s">
        <v>132</v>
      </c>
      <c r="E20" s="42">
        <v>2</v>
      </c>
    </row>
    <row r="21" spans="2:5" ht="20.45" customHeight="1" x14ac:dyDescent="0.25">
      <c r="B21" s="7">
        <f t="shared" si="0"/>
        <v>17</v>
      </c>
      <c r="C21" s="16">
        <v>173</v>
      </c>
      <c r="D21" s="135" t="s">
        <v>132</v>
      </c>
      <c r="E21" s="42">
        <v>2</v>
      </c>
    </row>
    <row r="22" spans="2:5" ht="20.45" customHeight="1" x14ac:dyDescent="0.25">
      <c r="B22" s="7">
        <f t="shared" si="0"/>
        <v>18</v>
      </c>
      <c r="C22" s="16">
        <v>173</v>
      </c>
      <c r="D22" s="135" t="s">
        <v>132</v>
      </c>
      <c r="E22" s="42">
        <v>2</v>
      </c>
    </row>
    <row r="23" spans="2:5" ht="20.45" customHeight="1" x14ac:dyDescent="0.25">
      <c r="B23" s="7">
        <f t="shared" si="0"/>
        <v>19</v>
      </c>
      <c r="C23" s="16">
        <v>173</v>
      </c>
      <c r="D23" s="135" t="s">
        <v>132</v>
      </c>
      <c r="E23" s="42">
        <v>2</v>
      </c>
    </row>
    <row r="24" spans="2:5" ht="20.45" customHeight="1" x14ac:dyDescent="0.25">
      <c r="B24" s="7">
        <f t="shared" si="0"/>
        <v>20</v>
      </c>
      <c r="C24" s="16">
        <v>173</v>
      </c>
      <c r="D24" s="135" t="s">
        <v>132</v>
      </c>
      <c r="E24" s="42">
        <v>2</v>
      </c>
    </row>
    <row r="25" spans="2:5" ht="20.45" customHeight="1" x14ac:dyDescent="0.25">
      <c r="B25" s="7">
        <f t="shared" si="0"/>
        <v>21</v>
      </c>
      <c r="C25" s="16">
        <v>173</v>
      </c>
      <c r="D25" s="135" t="s">
        <v>132</v>
      </c>
      <c r="E25" s="42">
        <v>2</v>
      </c>
    </row>
    <row r="26" spans="2:5" ht="20.45" customHeight="1" x14ac:dyDescent="0.25">
      <c r="B26" s="7">
        <f t="shared" si="0"/>
        <v>22</v>
      </c>
      <c r="C26" s="16">
        <v>173</v>
      </c>
      <c r="D26" s="135" t="s">
        <v>132</v>
      </c>
      <c r="E26" s="42">
        <v>2</v>
      </c>
    </row>
    <row r="27" spans="2:5" ht="20.45" customHeight="1" x14ac:dyDescent="0.25">
      <c r="B27" s="7">
        <f t="shared" si="0"/>
        <v>23</v>
      </c>
      <c r="C27" s="16">
        <v>173</v>
      </c>
      <c r="D27" s="135" t="s">
        <v>132</v>
      </c>
      <c r="E27" s="42">
        <v>2</v>
      </c>
    </row>
    <row r="28" spans="2:5" ht="20.45" customHeight="1" x14ac:dyDescent="0.25">
      <c r="B28" s="7">
        <f t="shared" si="0"/>
        <v>24</v>
      </c>
      <c r="C28" s="16">
        <v>173</v>
      </c>
      <c r="D28" s="135" t="s">
        <v>132</v>
      </c>
      <c r="E28" s="42">
        <v>2</v>
      </c>
    </row>
    <row r="29" spans="2:5" ht="20.45" customHeight="1" x14ac:dyDescent="0.25">
      <c r="B29" s="7">
        <f t="shared" si="0"/>
        <v>25</v>
      </c>
      <c r="C29" s="16">
        <v>173</v>
      </c>
      <c r="D29" s="135" t="s">
        <v>132</v>
      </c>
      <c r="E29" s="42">
        <v>2</v>
      </c>
    </row>
    <row r="30" spans="2:5" ht="20.45" customHeight="1" x14ac:dyDescent="0.25">
      <c r="B30" s="7">
        <f t="shared" si="0"/>
        <v>26</v>
      </c>
      <c r="C30" s="16">
        <v>173</v>
      </c>
      <c r="D30" s="135" t="s">
        <v>132</v>
      </c>
      <c r="E30" s="42">
        <v>2</v>
      </c>
    </row>
    <row r="31" spans="2:5" ht="20.45" customHeight="1" x14ac:dyDescent="0.25">
      <c r="B31" s="7">
        <f t="shared" si="0"/>
        <v>27</v>
      </c>
      <c r="C31" s="16">
        <v>173</v>
      </c>
      <c r="D31" s="135" t="s">
        <v>132</v>
      </c>
      <c r="E31" s="42">
        <v>2</v>
      </c>
    </row>
    <row r="32" spans="2:5" ht="20.45" customHeight="1" x14ac:dyDescent="0.25">
      <c r="B32" s="7">
        <f t="shared" si="0"/>
        <v>28</v>
      </c>
      <c r="C32" s="16">
        <v>173</v>
      </c>
      <c r="D32" s="135" t="s">
        <v>132</v>
      </c>
      <c r="E32" s="42">
        <v>2</v>
      </c>
    </row>
    <row r="33" spans="2:5" ht="20.45" customHeight="1" x14ac:dyDescent="0.25">
      <c r="B33" s="7">
        <f t="shared" si="0"/>
        <v>29</v>
      </c>
      <c r="C33" s="13"/>
      <c r="D33" s="14"/>
      <c r="E33" s="42"/>
    </row>
    <row r="34" spans="2:5" ht="20.45" customHeight="1" thickBot="1" x14ac:dyDescent="0.3">
      <c r="B34" s="8">
        <f>+B33+1</f>
        <v>30</v>
      </c>
      <c r="C34" s="13"/>
      <c r="D34" s="93"/>
      <c r="E34" s="44"/>
    </row>
    <row r="35" spans="2:5" ht="20.45" customHeight="1" x14ac:dyDescent="0.25"/>
  </sheetData>
  <mergeCells count="1">
    <mergeCell ref="B2:D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0"/>
  <sheetViews>
    <sheetView view="pageBreakPreview" zoomScale="60" zoomScaleNormal="100" workbookViewId="0">
      <selection activeCell="C26" sqref="C26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35.140625" bestFit="1" customWidth="1"/>
    <col min="5" max="5" width="69.42578125" customWidth="1"/>
    <col min="6" max="6" width="14.42578125" style="22" bestFit="1" customWidth="1"/>
    <col min="7" max="8" width="14.42578125" bestFit="1" customWidth="1"/>
  </cols>
  <sheetData>
    <row r="1" spans="2:6" x14ac:dyDescent="0.25">
      <c r="C1" s="26" t="s">
        <v>44</v>
      </c>
      <c r="D1" s="27">
        <v>46146</v>
      </c>
    </row>
    <row r="2" spans="2:6" x14ac:dyDescent="0.25">
      <c r="C2" s="28" t="s">
        <v>45</v>
      </c>
      <c r="D2" s="25">
        <v>173</v>
      </c>
    </row>
    <row r="3" spans="2:6" x14ac:dyDescent="0.25">
      <c r="C3" s="29" t="s">
        <v>48</v>
      </c>
      <c r="D3" s="30">
        <v>73</v>
      </c>
    </row>
    <row r="4" spans="2:6" ht="15.75" x14ac:dyDescent="0.25">
      <c r="B4" s="31" t="s">
        <v>16</v>
      </c>
      <c r="C4" s="31" t="s">
        <v>15</v>
      </c>
      <c r="D4" s="31" t="s">
        <v>17</v>
      </c>
      <c r="E4" s="32" t="s">
        <v>18</v>
      </c>
      <c r="F4" s="33" t="s">
        <v>19</v>
      </c>
    </row>
    <row r="5" spans="2:6" ht="26.1" customHeight="1" x14ac:dyDescent="0.25">
      <c r="B5" s="239" t="s">
        <v>100</v>
      </c>
      <c r="C5" s="34" t="s">
        <v>20</v>
      </c>
      <c r="D5" s="23">
        <f>21.1+16.64+17.66</f>
        <v>55.400000000000006</v>
      </c>
      <c r="E5" s="35">
        <f>18.24+18.16+16.16</f>
        <v>52.56</v>
      </c>
      <c r="F5" s="36">
        <v>3</v>
      </c>
    </row>
    <row r="6" spans="2:6" ht="26.1" customHeight="1" x14ac:dyDescent="0.25">
      <c r="B6" s="240"/>
      <c r="C6" s="34" t="s">
        <v>7</v>
      </c>
      <c r="D6" s="23">
        <f>14+14</f>
        <v>28</v>
      </c>
      <c r="E6" s="35">
        <f>23.46+22.04+23.12+18.46+18.98</f>
        <v>106.06000000000002</v>
      </c>
      <c r="F6" s="36">
        <v>5</v>
      </c>
    </row>
    <row r="7" spans="2:6" ht="26.1" customHeight="1" x14ac:dyDescent="0.25">
      <c r="B7" s="240"/>
      <c r="C7" s="34" t="s">
        <v>6</v>
      </c>
      <c r="D7" s="23" t="s">
        <v>133</v>
      </c>
      <c r="E7" s="35">
        <f>23.76+23.04</f>
        <v>46.8</v>
      </c>
      <c r="F7" s="36">
        <v>2</v>
      </c>
    </row>
    <row r="8" spans="2:6" ht="26.1" customHeight="1" x14ac:dyDescent="0.25">
      <c r="B8" s="240"/>
      <c r="C8" s="34" t="s">
        <v>10</v>
      </c>
      <c r="D8" s="23">
        <v>28</v>
      </c>
      <c r="E8" s="35">
        <f>15.34+14.74</f>
        <v>30.08</v>
      </c>
      <c r="F8" s="36">
        <v>2</v>
      </c>
    </row>
    <row r="9" spans="2:6" ht="26.1" customHeight="1" x14ac:dyDescent="0.25">
      <c r="B9" s="240"/>
      <c r="C9" s="34" t="s">
        <v>21</v>
      </c>
      <c r="D9" s="23">
        <v>20.78</v>
      </c>
      <c r="E9" s="35">
        <v>19.86</v>
      </c>
      <c r="F9" s="36">
        <v>1</v>
      </c>
    </row>
    <row r="10" spans="2:6" ht="26.1" customHeight="1" x14ac:dyDescent="0.25">
      <c r="B10" s="240"/>
      <c r="C10" s="34" t="s">
        <v>5</v>
      </c>
      <c r="D10" s="23">
        <v>56</v>
      </c>
      <c r="E10" s="35">
        <f>12.24+12.14</f>
        <v>24.380000000000003</v>
      </c>
      <c r="F10" s="36">
        <v>2</v>
      </c>
    </row>
    <row r="11" spans="2:6" ht="26.1" customHeight="1" x14ac:dyDescent="0.25">
      <c r="B11" s="240"/>
      <c r="C11" s="34" t="s">
        <v>22</v>
      </c>
      <c r="D11" s="23">
        <v>112</v>
      </c>
      <c r="E11" s="35">
        <v>19.04</v>
      </c>
      <c r="F11" s="36">
        <v>1</v>
      </c>
    </row>
    <row r="12" spans="2:6" ht="26.1" customHeight="1" x14ac:dyDescent="0.25">
      <c r="B12" s="240"/>
      <c r="C12" s="34" t="s">
        <v>8</v>
      </c>
      <c r="D12" s="23">
        <v>28</v>
      </c>
      <c r="E12" s="35">
        <f>10.36+11.26</f>
        <v>21.619999999999997</v>
      </c>
      <c r="F12" s="36">
        <v>2</v>
      </c>
    </row>
    <row r="13" spans="2:6" ht="26.1" customHeight="1" x14ac:dyDescent="0.25">
      <c r="B13" s="240"/>
      <c r="C13" s="34" t="s">
        <v>23</v>
      </c>
      <c r="D13" s="23">
        <v>28</v>
      </c>
      <c r="E13" s="35">
        <v>22.92</v>
      </c>
      <c r="F13" s="36">
        <v>1</v>
      </c>
    </row>
    <row r="14" spans="2:6" ht="26.1" customHeight="1" x14ac:dyDescent="0.25">
      <c r="B14" s="240"/>
      <c r="C14" s="34" t="s">
        <v>36</v>
      </c>
      <c r="D14" s="23">
        <f>22.84+13.8</f>
        <v>36.64</v>
      </c>
      <c r="E14" s="35">
        <f>16.76+17.4</f>
        <v>34.159999999999997</v>
      </c>
      <c r="F14" s="36">
        <v>2</v>
      </c>
    </row>
    <row r="15" spans="2:6" ht="26.1" customHeight="1" x14ac:dyDescent="0.25">
      <c r="B15" s="240"/>
      <c r="C15" s="34" t="s">
        <v>9</v>
      </c>
      <c r="D15" s="23">
        <v>28</v>
      </c>
      <c r="E15" s="35">
        <f>12.14+12.06</f>
        <v>24.200000000000003</v>
      </c>
      <c r="F15" s="36">
        <v>2</v>
      </c>
    </row>
    <row r="16" spans="2:6" ht="26.1" customHeight="1" x14ac:dyDescent="0.25">
      <c r="B16" s="240"/>
      <c r="C16" s="34" t="s">
        <v>24</v>
      </c>
      <c r="D16" s="23">
        <v>28</v>
      </c>
      <c r="E16" s="35">
        <v>9.58</v>
      </c>
      <c r="F16" s="36">
        <v>1</v>
      </c>
    </row>
    <row r="17" spans="2:9" ht="26.1" customHeight="1" x14ac:dyDescent="0.25">
      <c r="B17" s="241"/>
      <c r="C17" s="34" t="s">
        <v>37</v>
      </c>
      <c r="D17" s="23">
        <v>12.82</v>
      </c>
      <c r="E17" s="35">
        <v>11.44</v>
      </c>
      <c r="F17" s="36">
        <v>1</v>
      </c>
    </row>
    <row r="18" spans="2:9" x14ac:dyDescent="0.25">
      <c r="C18" s="21"/>
      <c r="D18" s="37" t="s">
        <v>11</v>
      </c>
      <c r="E18" s="37">
        <f>SUM(E5:E17)</f>
        <v>422.7</v>
      </c>
      <c r="F18" s="37">
        <f>SUM(F5:F17)</f>
        <v>25</v>
      </c>
    </row>
    <row r="19" spans="2:9" ht="15.75" thickBot="1" x14ac:dyDescent="0.3"/>
    <row r="20" spans="2:9" ht="15.75" thickBot="1" x14ac:dyDescent="0.3">
      <c r="B20" s="237" t="s">
        <v>40</v>
      </c>
      <c r="C20" s="238"/>
      <c r="D20" s="238"/>
      <c r="E20" s="238"/>
      <c r="F20" s="238"/>
    </row>
    <row r="21" spans="2:9" ht="26.1" customHeight="1" x14ac:dyDescent="0.25">
      <c r="B21" s="19" t="s">
        <v>38</v>
      </c>
      <c r="C21" s="17"/>
      <c r="D21" s="18"/>
      <c r="E21" s="18"/>
      <c r="F21" s="38"/>
    </row>
    <row r="22" spans="2:9" ht="26.1" customHeight="1" thickBot="1" x14ac:dyDescent="0.3">
      <c r="B22" s="20" t="s">
        <v>39</v>
      </c>
      <c r="C22" s="9">
        <v>4.6500000000000004</v>
      </c>
      <c r="D22" s="10"/>
      <c r="E22" s="10"/>
      <c r="F22" s="39"/>
    </row>
    <row r="24" spans="2:9" ht="15.75" x14ac:dyDescent="0.25">
      <c r="B24" s="236" t="s">
        <v>75</v>
      </c>
      <c r="C24" s="236"/>
      <c r="D24" s="236"/>
      <c r="E24" s="236"/>
      <c r="F24" s="236"/>
      <c r="G24" s="236"/>
      <c r="H24" s="236"/>
      <c r="I24" s="236"/>
    </row>
    <row r="25" spans="2:9" ht="26.1" customHeight="1" x14ac:dyDescent="0.25">
      <c r="B25" s="105" t="s">
        <v>76</v>
      </c>
      <c r="C25" s="105" t="s">
        <v>16</v>
      </c>
      <c r="D25" s="105" t="s">
        <v>19</v>
      </c>
      <c r="E25" s="105" t="s">
        <v>77</v>
      </c>
      <c r="F25" s="105" t="s">
        <v>78</v>
      </c>
      <c r="G25" s="105" t="s">
        <v>79</v>
      </c>
      <c r="H25" s="105" t="s">
        <v>80</v>
      </c>
      <c r="I25" s="105" t="s">
        <v>1</v>
      </c>
    </row>
    <row r="26" spans="2:9" ht="26.1" customHeight="1" x14ac:dyDescent="0.25">
      <c r="B26" s="101" t="s">
        <v>135</v>
      </c>
      <c r="C26" s="101"/>
      <c r="D26" s="101"/>
      <c r="E26" s="101">
        <f>25.84+23.08+21.78+34.34</f>
        <v>105.04</v>
      </c>
      <c r="F26" s="102"/>
      <c r="G26" s="102">
        <f>+F26+1</f>
        <v>1</v>
      </c>
      <c r="H26" s="102">
        <f>+F26+5</f>
        <v>5</v>
      </c>
      <c r="I26" s="101"/>
    </row>
    <row r="27" spans="2:9" ht="26.1" customHeight="1" x14ac:dyDescent="0.25">
      <c r="B27" s="101"/>
      <c r="C27" s="158" t="s">
        <v>134</v>
      </c>
      <c r="D27" s="103">
        <v>5</v>
      </c>
      <c r="E27" s="104">
        <f>20.22+20.22+20.02+20.14+20.26</f>
        <v>100.86</v>
      </c>
      <c r="F27" s="102">
        <v>46098</v>
      </c>
      <c r="G27" s="102">
        <f t="shared" ref="G27:G30" si="0">+F27+1</f>
        <v>46099</v>
      </c>
      <c r="H27" s="102">
        <f t="shared" ref="H27:H30" si="1">+F27+5</f>
        <v>46103</v>
      </c>
      <c r="I27" s="101"/>
    </row>
    <row r="28" spans="2:9" ht="26.1" customHeight="1" x14ac:dyDescent="0.25">
      <c r="B28" s="101"/>
      <c r="C28" s="101"/>
      <c r="D28" s="103"/>
      <c r="E28" s="103"/>
      <c r="F28" s="102">
        <v>46099</v>
      </c>
      <c r="G28" s="102">
        <f t="shared" si="0"/>
        <v>46100</v>
      </c>
      <c r="H28" s="102">
        <f t="shared" si="1"/>
        <v>46104</v>
      </c>
      <c r="I28" s="101"/>
    </row>
    <row r="29" spans="2:9" ht="26.1" customHeight="1" x14ac:dyDescent="0.25">
      <c r="B29" s="101"/>
      <c r="C29" s="101"/>
      <c r="D29" s="103"/>
      <c r="E29" s="104"/>
      <c r="F29" s="102">
        <v>46100</v>
      </c>
      <c r="G29" s="102">
        <f t="shared" si="0"/>
        <v>46101</v>
      </c>
      <c r="H29" s="102">
        <f t="shared" si="1"/>
        <v>46105</v>
      </c>
      <c r="I29" s="101"/>
    </row>
    <row r="30" spans="2:9" ht="26.1" customHeight="1" x14ac:dyDescent="0.25">
      <c r="B30" s="101"/>
      <c r="C30" s="101"/>
      <c r="D30" s="101"/>
      <c r="E30" s="101"/>
      <c r="F30" s="102">
        <v>46101</v>
      </c>
      <c r="G30" s="102">
        <f t="shared" si="0"/>
        <v>46102</v>
      </c>
      <c r="H30" s="102">
        <f t="shared" si="1"/>
        <v>46106</v>
      </c>
      <c r="I30" s="101"/>
    </row>
  </sheetData>
  <mergeCells count="3">
    <mergeCell ref="B24:I24"/>
    <mergeCell ref="B20:F20"/>
    <mergeCell ref="B5:B17"/>
  </mergeCells>
  <pageMargins left="0.7" right="0.7" top="0.75" bottom="0.75" header="0.3" footer="0.3"/>
  <pageSetup scale="5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9"/>
  <sheetViews>
    <sheetView topLeftCell="A16" workbookViewId="0">
      <selection activeCell="B4" sqref="B4:L19"/>
    </sheetView>
  </sheetViews>
  <sheetFormatPr baseColWidth="10" defaultRowHeight="15" x14ac:dyDescent="0.25"/>
  <sheetData>
    <row r="3" spans="2:12" ht="15.75" thickBot="1" x14ac:dyDescent="0.3"/>
    <row r="4" spans="2:12" ht="15.75" thickBot="1" x14ac:dyDescent="0.3">
      <c r="B4" s="248" t="s">
        <v>27</v>
      </c>
      <c r="C4" s="248" t="s">
        <v>28</v>
      </c>
      <c r="D4" s="244" t="s">
        <v>49</v>
      </c>
      <c r="E4" s="250" t="s">
        <v>29</v>
      </c>
      <c r="F4" s="251"/>
      <c r="G4" s="244" t="s">
        <v>30</v>
      </c>
      <c r="H4" s="242" t="s">
        <v>31</v>
      </c>
      <c r="I4" s="242" t="s">
        <v>2</v>
      </c>
      <c r="J4" s="244" t="s">
        <v>3</v>
      </c>
      <c r="K4" s="242" t="s">
        <v>32</v>
      </c>
      <c r="L4" s="246" t="s">
        <v>33</v>
      </c>
    </row>
    <row r="5" spans="2:12" ht="15.75" thickBot="1" x14ac:dyDescent="0.3">
      <c r="B5" s="249"/>
      <c r="C5" s="249"/>
      <c r="D5" s="245"/>
      <c r="E5" s="161" t="s">
        <v>72</v>
      </c>
      <c r="F5" s="187" t="s">
        <v>73</v>
      </c>
      <c r="G5" s="245"/>
      <c r="H5" s="243"/>
      <c r="I5" s="243"/>
      <c r="J5" s="245"/>
      <c r="K5" s="243"/>
      <c r="L5" s="247"/>
    </row>
    <row r="6" spans="2:12" x14ac:dyDescent="0.25">
      <c r="B6" s="162">
        <v>1</v>
      </c>
      <c r="C6" s="171">
        <v>27</v>
      </c>
      <c r="D6" s="172" t="s">
        <v>101</v>
      </c>
      <c r="E6" s="177" t="s">
        <v>132</v>
      </c>
      <c r="F6" s="172" t="s">
        <v>63</v>
      </c>
      <c r="G6" s="184" t="s">
        <v>130</v>
      </c>
      <c r="H6" s="181">
        <v>388</v>
      </c>
      <c r="I6" s="173">
        <v>111.8</v>
      </c>
      <c r="J6" s="173">
        <v>110.1</v>
      </c>
      <c r="K6" s="168">
        <f t="shared" ref="K6:K19" si="0">+I6+J6</f>
        <v>221.89999999999998</v>
      </c>
      <c r="L6" s="165">
        <f t="shared" ref="L6:L19" si="1">+K6/H6</f>
        <v>0.57190721649484533</v>
      </c>
    </row>
    <row r="7" spans="2:12" x14ac:dyDescent="0.25">
      <c r="B7" s="163">
        <v>4</v>
      </c>
      <c r="C7" s="163">
        <v>15</v>
      </c>
      <c r="D7" s="163" t="s">
        <v>103</v>
      </c>
      <c r="E7" s="178" t="s">
        <v>132</v>
      </c>
      <c r="F7" s="162" t="s">
        <v>63</v>
      </c>
      <c r="G7" s="185" t="s">
        <v>118</v>
      </c>
      <c r="H7" s="182">
        <v>381</v>
      </c>
      <c r="I7" s="174">
        <v>110</v>
      </c>
      <c r="J7" s="174">
        <v>109.2</v>
      </c>
      <c r="K7" s="169">
        <f t="shared" si="0"/>
        <v>219.2</v>
      </c>
      <c r="L7" s="165">
        <f t="shared" si="1"/>
        <v>0.5753280839895013</v>
      </c>
    </row>
    <row r="8" spans="2:12" x14ac:dyDescent="0.25">
      <c r="B8" s="162">
        <v>11</v>
      </c>
      <c r="C8" s="163">
        <v>25</v>
      </c>
      <c r="D8" s="162" t="s">
        <v>101</v>
      </c>
      <c r="E8" s="178" t="s">
        <v>132</v>
      </c>
      <c r="F8" s="162" t="s">
        <v>63</v>
      </c>
      <c r="G8" s="185" t="s">
        <v>128</v>
      </c>
      <c r="H8" s="182">
        <v>375</v>
      </c>
      <c r="I8" s="175">
        <v>107.6</v>
      </c>
      <c r="J8" s="175">
        <v>106.3</v>
      </c>
      <c r="K8" s="169">
        <f t="shared" si="0"/>
        <v>213.89999999999998</v>
      </c>
      <c r="L8" s="165">
        <f t="shared" si="1"/>
        <v>0.57039999999999991</v>
      </c>
    </row>
    <row r="9" spans="2:12" x14ac:dyDescent="0.25">
      <c r="B9" s="163">
        <v>14</v>
      </c>
      <c r="C9" s="163">
        <v>9</v>
      </c>
      <c r="D9" s="163" t="s">
        <v>101</v>
      </c>
      <c r="E9" s="178" t="s">
        <v>132</v>
      </c>
      <c r="F9" s="162" t="s">
        <v>63</v>
      </c>
      <c r="G9" s="185" t="s">
        <v>112</v>
      </c>
      <c r="H9" s="182">
        <v>382</v>
      </c>
      <c r="I9" s="174">
        <v>109.2</v>
      </c>
      <c r="J9" s="174">
        <v>108.2</v>
      </c>
      <c r="K9" s="169">
        <f t="shared" si="0"/>
        <v>217.4</v>
      </c>
      <c r="L9" s="165">
        <f t="shared" si="1"/>
        <v>0.56910994764397904</v>
      </c>
    </row>
    <row r="10" spans="2:12" x14ac:dyDescent="0.25">
      <c r="B10" s="163">
        <v>15</v>
      </c>
      <c r="C10" s="163">
        <v>1</v>
      </c>
      <c r="D10" s="163" t="s">
        <v>101</v>
      </c>
      <c r="E10" s="178" t="s">
        <v>132</v>
      </c>
      <c r="F10" s="162" t="s">
        <v>63</v>
      </c>
      <c r="G10" s="185" t="s">
        <v>104</v>
      </c>
      <c r="H10" s="182">
        <v>380</v>
      </c>
      <c r="I10" s="174">
        <v>108.3</v>
      </c>
      <c r="J10" s="174">
        <v>108.9</v>
      </c>
      <c r="K10" s="169">
        <f t="shared" si="0"/>
        <v>217.2</v>
      </c>
      <c r="L10" s="166">
        <f t="shared" si="1"/>
        <v>0.57157894736842108</v>
      </c>
    </row>
    <row r="11" spans="2:12" x14ac:dyDescent="0.25">
      <c r="B11" s="162">
        <v>16</v>
      </c>
      <c r="C11" s="163">
        <v>14</v>
      </c>
      <c r="D11" s="162" t="s">
        <v>101</v>
      </c>
      <c r="E11" s="178" t="s">
        <v>132</v>
      </c>
      <c r="F11" s="162" t="s">
        <v>63</v>
      </c>
      <c r="G11" s="185" t="s">
        <v>117</v>
      </c>
      <c r="H11" s="182">
        <v>426</v>
      </c>
      <c r="I11" s="174">
        <v>127.2</v>
      </c>
      <c r="J11" s="174">
        <v>126.5</v>
      </c>
      <c r="K11" s="169">
        <f t="shared" si="0"/>
        <v>253.7</v>
      </c>
      <c r="L11" s="165">
        <f t="shared" si="1"/>
        <v>0.59553990610328633</v>
      </c>
    </row>
    <row r="12" spans="2:12" x14ac:dyDescent="0.25">
      <c r="B12" s="162">
        <v>19</v>
      </c>
      <c r="C12" s="163">
        <v>26</v>
      </c>
      <c r="D12" s="162" t="s">
        <v>101</v>
      </c>
      <c r="E12" s="178" t="s">
        <v>132</v>
      </c>
      <c r="F12" s="162" t="s">
        <v>63</v>
      </c>
      <c r="G12" s="185" t="s">
        <v>129</v>
      </c>
      <c r="H12" s="182">
        <v>427</v>
      </c>
      <c r="I12" s="174">
        <v>126.3</v>
      </c>
      <c r="J12" s="174">
        <v>126.1</v>
      </c>
      <c r="K12" s="169">
        <f t="shared" si="0"/>
        <v>252.39999999999998</v>
      </c>
      <c r="L12" s="165">
        <f t="shared" si="1"/>
        <v>0.59110070257611236</v>
      </c>
    </row>
    <row r="13" spans="2:12" x14ac:dyDescent="0.25">
      <c r="B13" s="163">
        <v>21</v>
      </c>
      <c r="C13" s="163">
        <v>4</v>
      </c>
      <c r="D13" s="163" t="s">
        <v>101</v>
      </c>
      <c r="E13" s="178" t="s">
        <v>132</v>
      </c>
      <c r="F13" s="162" t="s">
        <v>63</v>
      </c>
      <c r="G13" s="185" t="s">
        <v>107</v>
      </c>
      <c r="H13" s="182">
        <v>363</v>
      </c>
      <c r="I13" s="174">
        <v>110.5</v>
      </c>
      <c r="J13" s="174">
        <v>110.8</v>
      </c>
      <c r="K13" s="169">
        <f t="shared" si="0"/>
        <v>221.3</v>
      </c>
      <c r="L13" s="165">
        <f t="shared" si="1"/>
        <v>0.60964187327823693</v>
      </c>
    </row>
    <row r="14" spans="2:12" x14ac:dyDescent="0.25">
      <c r="B14" s="162">
        <v>22</v>
      </c>
      <c r="C14" s="163">
        <v>10</v>
      </c>
      <c r="D14" s="162" t="s">
        <v>101</v>
      </c>
      <c r="E14" s="178" t="s">
        <v>132</v>
      </c>
      <c r="F14" s="162" t="s">
        <v>63</v>
      </c>
      <c r="G14" s="185" t="s">
        <v>113</v>
      </c>
      <c r="H14" s="182">
        <v>420</v>
      </c>
      <c r="I14" s="174">
        <v>126.1</v>
      </c>
      <c r="J14" s="174">
        <v>125.2</v>
      </c>
      <c r="K14" s="169">
        <f t="shared" si="0"/>
        <v>251.3</v>
      </c>
      <c r="L14" s="165">
        <f t="shared" si="1"/>
        <v>0.59833333333333338</v>
      </c>
    </row>
    <row r="15" spans="2:12" x14ac:dyDescent="0.25">
      <c r="B15" s="163">
        <v>23</v>
      </c>
      <c r="C15" s="163">
        <v>20</v>
      </c>
      <c r="D15" s="163" t="s">
        <v>102</v>
      </c>
      <c r="E15" s="178" t="s">
        <v>132</v>
      </c>
      <c r="F15" s="162" t="s">
        <v>63</v>
      </c>
      <c r="G15" s="185" t="s">
        <v>123</v>
      </c>
      <c r="H15" s="182">
        <v>446</v>
      </c>
      <c r="I15" s="174">
        <v>122.5</v>
      </c>
      <c r="J15" s="174">
        <v>122</v>
      </c>
      <c r="K15" s="169">
        <f t="shared" si="0"/>
        <v>244.5</v>
      </c>
      <c r="L15" s="165">
        <f t="shared" si="1"/>
        <v>0.5482062780269058</v>
      </c>
    </row>
    <row r="16" spans="2:12" x14ac:dyDescent="0.25">
      <c r="B16" s="163">
        <v>24</v>
      </c>
      <c r="C16" s="163">
        <v>16</v>
      </c>
      <c r="D16" s="163" t="s">
        <v>101</v>
      </c>
      <c r="E16" s="178" t="s">
        <v>132</v>
      </c>
      <c r="F16" s="162" t="s">
        <v>63</v>
      </c>
      <c r="G16" s="185" t="s">
        <v>119</v>
      </c>
      <c r="H16" s="182">
        <v>407</v>
      </c>
      <c r="I16" s="174">
        <v>121.4</v>
      </c>
      <c r="J16" s="174">
        <v>121.2</v>
      </c>
      <c r="K16" s="169">
        <f t="shared" si="0"/>
        <v>242.60000000000002</v>
      </c>
      <c r="L16" s="165">
        <f t="shared" si="1"/>
        <v>0.59606879606879615</v>
      </c>
    </row>
    <row r="17" spans="2:12" x14ac:dyDescent="0.25">
      <c r="B17" s="163">
        <v>25</v>
      </c>
      <c r="C17" s="163">
        <v>8</v>
      </c>
      <c r="D17" s="163" t="s">
        <v>102</v>
      </c>
      <c r="E17" s="178" t="s">
        <v>132</v>
      </c>
      <c r="F17" s="162" t="s">
        <v>63</v>
      </c>
      <c r="G17" s="185" t="s">
        <v>111</v>
      </c>
      <c r="H17" s="182">
        <v>381</v>
      </c>
      <c r="I17" s="174">
        <v>110.2</v>
      </c>
      <c r="J17" s="174">
        <v>110.3</v>
      </c>
      <c r="K17" s="169">
        <f t="shared" si="0"/>
        <v>220.5</v>
      </c>
      <c r="L17" s="165">
        <f t="shared" si="1"/>
        <v>0.57874015748031493</v>
      </c>
    </row>
    <row r="18" spans="2:12" x14ac:dyDescent="0.25">
      <c r="B18" s="163">
        <v>26</v>
      </c>
      <c r="C18" s="163">
        <v>12</v>
      </c>
      <c r="D18" s="163" t="s">
        <v>101</v>
      </c>
      <c r="E18" s="178" t="s">
        <v>132</v>
      </c>
      <c r="F18" s="162" t="s">
        <v>63</v>
      </c>
      <c r="G18" s="185" t="s">
        <v>115</v>
      </c>
      <c r="H18" s="182">
        <v>384</v>
      </c>
      <c r="I18" s="174">
        <v>107.6</v>
      </c>
      <c r="J18" s="174">
        <v>108.4</v>
      </c>
      <c r="K18" s="169">
        <f t="shared" si="0"/>
        <v>216</v>
      </c>
      <c r="L18" s="165">
        <f t="shared" si="1"/>
        <v>0.5625</v>
      </c>
    </row>
    <row r="19" spans="2:12" ht="15.75" thickBot="1" x14ac:dyDescent="0.3">
      <c r="B19" s="164">
        <v>28</v>
      </c>
      <c r="C19" s="164">
        <v>17</v>
      </c>
      <c r="D19" s="164" t="s">
        <v>101</v>
      </c>
      <c r="E19" s="179" t="s">
        <v>132</v>
      </c>
      <c r="F19" s="180" t="s">
        <v>63</v>
      </c>
      <c r="G19" s="186" t="s">
        <v>120</v>
      </c>
      <c r="H19" s="183">
        <v>364</v>
      </c>
      <c r="I19" s="176">
        <v>107.8</v>
      </c>
      <c r="J19" s="176">
        <v>107.3</v>
      </c>
      <c r="K19" s="170">
        <f t="shared" si="0"/>
        <v>215.1</v>
      </c>
      <c r="L19" s="167">
        <f t="shared" si="1"/>
        <v>0.59093406593406594</v>
      </c>
    </row>
  </sheetData>
  <mergeCells count="10">
    <mergeCell ref="I4:I5"/>
    <mergeCell ref="J4:J5"/>
    <mergeCell ref="K4:K5"/>
    <mergeCell ref="L4:L5"/>
    <mergeCell ref="B4:B5"/>
    <mergeCell ref="C4:C5"/>
    <mergeCell ref="D4:D5"/>
    <mergeCell ref="E4:F4"/>
    <mergeCell ref="G4:G5"/>
    <mergeCell ref="H4:H5"/>
  </mergeCells>
  <conditionalFormatting sqref="L6">
    <cfRule type="cellIs" dxfId="6" priority="7" operator="greaterThan">
      <formula>0.7</formula>
    </cfRule>
  </conditionalFormatting>
  <conditionalFormatting sqref="L7">
    <cfRule type="cellIs" dxfId="5" priority="6" operator="greaterThan">
      <formula>0.7</formula>
    </cfRule>
  </conditionalFormatting>
  <conditionalFormatting sqref="L8">
    <cfRule type="cellIs" dxfId="4" priority="5" operator="greaterThan">
      <formula>0.7</formula>
    </cfRule>
  </conditionalFormatting>
  <conditionalFormatting sqref="L9:L11">
    <cfRule type="cellIs" dxfId="3" priority="4" operator="greaterThan">
      <formula>0.7</formula>
    </cfRule>
  </conditionalFormatting>
  <conditionalFormatting sqref="L12">
    <cfRule type="cellIs" dxfId="2" priority="3" operator="greaterThan">
      <formula>0.7</formula>
    </cfRule>
  </conditionalFormatting>
  <conditionalFormatting sqref="L13:L18">
    <cfRule type="cellIs" dxfId="1" priority="2" operator="greaterThan">
      <formula>0.7</formula>
    </cfRule>
  </conditionalFormatting>
  <conditionalFormatting sqref="L19">
    <cfRule type="cellIs" dxfId="0" priority="1" operator="greaterThan">
      <formula>0.7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TROPA 173 </vt:lpstr>
      <vt:lpstr>ROMANEO 1</vt:lpstr>
      <vt:lpstr>denticion 1</vt:lpstr>
      <vt:lpstr>menudencias (1)</vt:lpstr>
      <vt:lpstr>Hoja1</vt:lpstr>
      <vt:lpstr>'menudencias (1)'!Área_de_impresión</vt:lpstr>
      <vt:lpstr>'TROPA 173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ARES CALVO</dc:creator>
  <cp:lastModifiedBy>HACIENDA</cp:lastModifiedBy>
  <cp:lastPrinted>2026-05-06T10:18:10Z</cp:lastPrinted>
  <dcterms:created xsi:type="dcterms:W3CDTF">2025-06-18T19:04:42Z</dcterms:created>
  <dcterms:modified xsi:type="dcterms:W3CDTF">2026-05-06T11:08:13Z</dcterms:modified>
</cp:coreProperties>
</file>