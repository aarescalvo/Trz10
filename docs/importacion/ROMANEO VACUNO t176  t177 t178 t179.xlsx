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60" windowWidth="20640" windowHeight="11100" tabRatio="940" activeTab="8"/>
  </bookViews>
  <sheets>
    <sheet name="TROPA 176 " sheetId="13" r:id="rId1"/>
    <sheet name="TROPA 177" sheetId="24" r:id="rId2"/>
    <sheet name="TROPA 178" sheetId="25" r:id="rId3"/>
    <sheet name="TROPA 179" sheetId="26" r:id="rId4"/>
    <sheet name="ROMANEO 1" sheetId="1" r:id="rId5"/>
    <sheet name="denticion 1" sheetId="16" r:id="rId6"/>
    <sheet name="menudencias (1)" sheetId="10" r:id="rId7"/>
    <sheet name="menudencias (2)" sheetId="21" r:id="rId8"/>
    <sheet name="menudencias (3)" sheetId="23" r:id="rId9"/>
  </sheets>
  <definedNames>
    <definedName name="_xlnm.Print_Area" localSheetId="6">'menudencias (1)'!$B$1:$I$30</definedName>
    <definedName name="_xlnm.Print_Area" localSheetId="7">'menudencias (2)'!$B$1:$F$28</definedName>
    <definedName name="_xlnm.Print_Area" localSheetId="8">'menudencias (3)'!$B$1:$F$28</definedName>
    <definedName name="_xlnm.Print_Area" localSheetId="0">'TROPA 176 '!$B$2:$N$29</definedName>
    <definedName name="_xlnm.Print_Area" localSheetId="1">'TROPA 177'!$B$2:$N$28</definedName>
    <definedName name="_xlnm.Print_Area" localSheetId="2">'TROPA 178'!$B$2:$N$46</definedName>
    <definedName name="_xlnm.Print_Area" localSheetId="3">'TROPA 179'!$B$2:$N$31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23" l="1"/>
  <c r="D5" i="23"/>
  <c r="I57" i="26" l="1"/>
  <c r="K48" i="26"/>
  <c r="J48" i="26"/>
  <c r="I48" i="26"/>
  <c r="K30" i="26"/>
  <c r="J30" i="26"/>
  <c r="I30" i="26"/>
  <c r="E17" i="26" s="1"/>
  <c r="D30" i="26"/>
  <c r="H53" i="26" s="1"/>
  <c r="L29" i="26"/>
  <c r="M29" i="26" s="1"/>
  <c r="L28" i="26"/>
  <c r="M28" i="26" s="1"/>
  <c r="L27" i="26"/>
  <c r="M27" i="26" s="1"/>
  <c r="L26" i="26"/>
  <c r="M26" i="26" s="1"/>
  <c r="L25" i="26"/>
  <c r="K20" i="26"/>
  <c r="L19" i="26"/>
  <c r="K19" i="26"/>
  <c r="L18" i="26"/>
  <c r="K18" i="26"/>
  <c r="L17" i="26"/>
  <c r="K17" i="26"/>
  <c r="L16" i="26"/>
  <c r="K16" i="26"/>
  <c r="L15" i="26"/>
  <c r="K15" i="26"/>
  <c r="I72" i="25"/>
  <c r="K63" i="25"/>
  <c r="J63" i="25"/>
  <c r="I63" i="25"/>
  <c r="K45" i="25"/>
  <c r="J45" i="25"/>
  <c r="I45" i="25"/>
  <c r="E17" i="25" s="1"/>
  <c r="D45" i="25"/>
  <c r="H68" i="25" s="1"/>
  <c r="L44" i="25"/>
  <c r="M44" i="25" s="1"/>
  <c r="L43" i="25"/>
  <c r="M43" i="25" s="1"/>
  <c r="L42" i="25"/>
  <c r="M42" i="25" s="1"/>
  <c r="L41" i="25"/>
  <c r="M41" i="25" s="1"/>
  <c r="L40" i="25"/>
  <c r="M40" i="25" s="1"/>
  <c r="L39" i="25"/>
  <c r="M39" i="25" s="1"/>
  <c r="M38" i="25"/>
  <c r="L38" i="25"/>
  <c r="L37" i="25"/>
  <c r="M37" i="25" s="1"/>
  <c r="L36" i="25"/>
  <c r="M36" i="25" s="1"/>
  <c r="L35" i="25"/>
  <c r="M35" i="25" s="1"/>
  <c r="L34" i="25"/>
  <c r="M34" i="25" s="1"/>
  <c r="L33" i="25"/>
  <c r="M33" i="25" s="1"/>
  <c r="L32" i="25"/>
  <c r="M32" i="25" s="1"/>
  <c r="L31" i="25"/>
  <c r="M31" i="25" s="1"/>
  <c r="M30" i="25"/>
  <c r="L30" i="25"/>
  <c r="L29" i="25"/>
  <c r="M29" i="25" s="1"/>
  <c r="L28" i="25"/>
  <c r="M28" i="25" s="1"/>
  <c r="L27" i="25"/>
  <c r="M27" i="25" s="1"/>
  <c r="L26" i="25"/>
  <c r="M26" i="25" s="1"/>
  <c r="L25" i="25"/>
  <c r="M25" i="25" s="1"/>
  <c r="L20" i="25"/>
  <c r="K20" i="25"/>
  <c r="L19" i="25"/>
  <c r="K19" i="25"/>
  <c r="L18" i="25"/>
  <c r="K18" i="25"/>
  <c r="L17" i="25"/>
  <c r="K17" i="25"/>
  <c r="L16" i="25"/>
  <c r="K16" i="25"/>
  <c r="L15" i="25"/>
  <c r="K15" i="25"/>
  <c r="I54" i="24"/>
  <c r="K45" i="24"/>
  <c r="J45" i="24"/>
  <c r="I45" i="24"/>
  <c r="K27" i="24"/>
  <c r="J27" i="24"/>
  <c r="I27" i="24"/>
  <c r="E17" i="24" s="1"/>
  <c r="D27" i="24"/>
  <c r="H50" i="24" s="1"/>
  <c r="L26" i="24"/>
  <c r="M26" i="24" s="1"/>
  <c r="L25" i="24"/>
  <c r="L27" i="24" s="1"/>
  <c r="L20" i="24"/>
  <c r="K20" i="24"/>
  <c r="L19" i="24"/>
  <c r="K19" i="24"/>
  <c r="L18" i="24"/>
  <c r="K18" i="24"/>
  <c r="L17" i="24"/>
  <c r="K17" i="24"/>
  <c r="L16" i="24"/>
  <c r="K16" i="24"/>
  <c r="L15" i="24"/>
  <c r="K15" i="24"/>
  <c r="L30" i="26" l="1"/>
  <c r="E20" i="26" s="1"/>
  <c r="M25" i="24"/>
  <c r="M25" i="26"/>
  <c r="E18" i="26"/>
  <c r="L4" i="26"/>
  <c r="M30" i="26"/>
  <c r="L20" i="26"/>
  <c r="L45" i="25"/>
  <c r="M27" i="24"/>
  <c r="E20" i="24"/>
  <c r="E18" i="24"/>
  <c r="L4" i="24"/>
  <c r="I55" i="13"/>
  <c r="K46" i="13"/>
  <c r="J46" i="13"/>
  <c r="I46" i="13"/>
  <c r="K28" i="13"/>
  <c r="J28" i="13"/>
  <c r="I28" i="13"/>
  <c r="E17" i="13" s="1"/>
  <c r="D28" i="13"/>
  <c r="H51" i="13" s="1"/>
  <c r="L27" i="13"/>
  <c r="M27" i="13" s="1"/>
  <c r="L26" i="13"/>
  <c r="M26" i="13" s="1"/>
  <c r="L25" i="13"/>
  <c r="M25" i="13" s="1"/>
  <c r="L20" i="13"/>
  <c r="K20" i="13"/>
  <c r="L19" i="13"/>
  <c r="K19" i="13"/>
  <c r="L18" i="13"/>
  <c r="K18" i="13"/>
  <c r="L17" i="13"/>
  <c r="K17" i="13"/>
  <c r="L16" i="13"/>
  <c r="K16" i="13"/>
  <c r="L15" i="13"/>
  <c r="K15" i="13"/>
  <c r="E19" i="26" l="1"/>
  <c r="L3" i="26"/>
  <c r="L4" i="25"/>
  <c r="M45" i="25"/>
  <c r="E20" i="25"/>
  <c r="E18" i="25"/>
  <c r="E19" i="24"/>
  <c r="L3" i="24"/>
  <c r="L28" i="13"/>
  <c r="H27" i="10"/>
  <c r="H28" i="10"/>
  <c r="H29" i="10"/>
  <c r="H30" i="10"/>
  <c r="G27" i="10"/>
  <c r="G28" i="10"/>
  <c r="G29" i="10"/>
  <c r="G30" i="10"/>
  <c r="H26" i="10"/>
  <c r="G26" i="10"/>
  <c r="E19" i="25" l="1"/>
  <c r="L3" i="25"/>
  <c r="E20" i="13"/>
  <c r="L4" i="13"/>
  <c r="M28" i="13"/>
  <c r="E18" i="13"/>
  <c r="F18" i="23"/>
  <c r="E18" i="23"/>
  <c r="E19" i="13" l="1"/>
  <c r="L3" i="13"/>
  <c r="F18" i="21"/>
  <c r="E18" i="21"/>
  <c r="F18" i="10"/>
  <c r="E18" i="10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6" i="16" l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</calcChain>
</file>

<file path=xl/comments1.xml><?xml version="1.0" encoding="utf-8"?>
<comments xmlns="http://schemas.openxmlformats.org/spreadsheetml/2006/main">
  <authors>
    <author>Usuario</author>
  </authors>
  <commentList>
    <comment ref="I5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Usuario</author>
  </authors>
  <commentList>
    <comment ref="I54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Usuario</author>
  </authors>
  <commentList>
    <comment ref="I7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Usuario</author>
  </authors>
  <commentList>
    <comment ref="I57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<sst xmlns="http://schemas.openxmlformats.org/spreadsheetml/2006/main" count="582" uniqueCount="147">
  <si>
    <t>N° GARRON</t>
  </si>
  <si>
    <t>TROPA</t>
  </si>
  <si>
    <t>KG 1/2 A</t>
  </si>
  <si>
    <t>KG 1/2 B</t>
  </si>
  <si>
    <t>ROMANEO FAENA BOVINA</t>
  </si>
  <si>
    <t>RIÑON</t>
  </si>
  <si>
    <t>HIGADO</t>
  </si>
  <si>
    <t>CORAZON</t>
  </si>
  <si>
    <t>TRIPA GORDA</t>
  </si>
  <si>
    <t>RABO</t>
  </si>
  <si>
    <t>LENGUA</t>
  </si>
  <si>
    <t>total</t>
  </si>
  <si>
    <t>KG 1/2 izq</t>
  </si>
  <si>
    <t>KG 1/2 der</t>
  </si>
  <si>
    <t>TIPIFICACION</t>
  </si>
  <si>
    <t>ARTICULO</t>
  </si>
  <si>
    <t>USUARIO</t>
  </si>
  <si>
    <t>GUARDADO EN CAMARA</t>
  </si>
  <si>
    <t>ELABORADO KG</t>
  </si>
  <si>
    <t>BOLSAS</t>
  </si>
  <si>
    <t>CHINCHULIN (KG)</t>
  </si>
  <si>
    <t>MOLLEJAS (KG)</t>
  </si>
  <si>
    <t>TENDON</t>
  </si>
  <si>
    <t>CENTRO DE ENTRAÑA</t>
  </si>
  <si>
    <t>SESOS</t>
  </si>
  <si>
    <t>RINDE</t>
  </si>
  <si>
    <t>PROM.</t>
  </si>
  <si>
    <t>Nº 
GARRON</t>
  </si>
  <si>
    <t>Nº
 ANIMAL</t>
  </si>
  <si>
    <t>TIPO DE ANIMAL</t>
  </si>
  <si>
    <t>Nº CARAVANA</t>
  </si>
  <si>
    <t>KG ENTRADA</t>
  </si>
  <si>
    <t>TOTAL KG</t>
  </si>
  <si>
    <t xml:space="preserve">RINDE
FAENA </t>
  </si>
  <si>
    <t>CANTIDAD</t>
  </si>
  <si>
    <t>HUESO</t>
  </si>
  <si>
    <t>QUIJADA (KG)</t>
  </si>
  <si>
    <t>CARNE DE CABEZA (KG)</t>
  </si>
  <si>
    <t>GRASA</t>
  </si>
  <si>
    <t>DESPOJO</t>
  </si>
  <si>
    <t>BOLSA AZUL</t>
  </si>
  <si>
    <t>PESAJE INTERNO</t>
  </si>
  <si>
    <t>N° CABEZA</t>
  </si>
  <si>
    <t>DIENTES</t>
  </si>
  <si>
    <t>PESAJE BASCULA - MANITOU</t>
  </si>
  <si>
    <t xml:space="preserve">FECHA:     </t>
  </si>
  <si>
    <t>FECHA:</t>
  </si>
  <si>
    <t>TROPA:</t>
  </si>
  <si>
    <t>LAVADITO</t>
  </si>
  <si>
    <t>TROPA Nº</t>
  </si>
  <si>
    <t>TIPO</t>
  </si>
  <si>
    <t>LOTE:</t>
  </si>
  <si>
    <t>RAZA</t>
  </si>
  <si>
    <t>Estab. Faenador: Solemar Alimentaria S.A.</t>
  </si>
  <si>
    <t>Matricula: 300</t>
  </si>
  <si>
    <t>Nº SENASA: 3986</t>
  </si>
  <si>
    <t xml:space="preserve">Usuario/Matarife: </t>
  </si>
  <si>
    <t>Productor:</t>
  </si>
  <si>
    <t xml:space="preserve">Matricula: </t>
  </si>
  <si>
    <t>Nº DTE:</t>
  </si>
  <si>
    <t>Nº Guia:</t>
  </si>
  <si>
    <t>Cuartos</t>
  </si>
  <si>
    <t>Kg</t>
  </si>
  <si>
    <t>Nº Tropa:</t>
  </si>
  <si>
    <t>VQ</t>
  </si>
  <si>
    <t>Cantidad Cabeza:</t>
  </si>
  <si>
    <t>NT</t>
  </si>
  <si>
    <t>Kg Vivo entrada:</t>
  </si>
  <si>
    <t>NO</t>
  </si>
  <si>
    <t>Kg 1/2 Res</t>
  </si>
  <si>
    <t>TO</t>
  </si>
  <si>
    <t>Rinde:</t>
  </si>
  <si>
    <t>VA</t>
  </si>
  <si>
    <t>Promedio:</t>
  </si>
  <si>
    <t>MEJ</t>
  </si>
  <si>
    <t>Denticion</t>
  </si>
  <si>
    <t>Clasificacion</t>
  </si>
  <si>
    <t>Fecha Faena:</t>
  </si>
  <si>
    <t>CHINCHU - LAVADITO</t>
  </si>
  <si>
    <t>DESTINO</t>
  </si>
  <si>
    <t>KG</t>
  </si>
  <si>
    <t>F. FAENA</t>
  </si>
  <si>
    <t>F. ELAB.</t>
  </si>
  <si>
    <t>F. VENC.</t>
  </si>
  <si>
    <t>Fecha Ing.:</t>
  </si>
  <si>
    <t>Hora:</t>
  </si>
  <si>
    <t>MENUDENCIA</t>
  </si>
  <si>
    <t>Cantidades</t>
  </si>
  <si>
    <t>Unidad</t>
  </si>
  <si>
    <t>Kg Dec.</t>
  </si>
  <si>
    <t>TOTALES</t>
  </si>
  <si>
    <t>SUBPRODUCTOS</t>
  </si>
  <si>
    <t>UN.</t>
  </si>
  <si>
    <t>CUERO</t>
  </si>
  <si>
    <t>GRASA FAENA</t>
  </si>
  <si>
    <t xml:space="preserve">GRASA DREASING </t>
  </si>
  <si>
    <t>DESPERDICIO DE FAENA</t>
  </si>
  <si>
    <t>VAQUILLONA</t>
  </si>
  <si>
    <t>NOVILLITO</t>
  </si>
  <si>
    <t>FECHA:        06/05/2026</t>
  </si>
  <si>
    <t>FERREYRA ANDREA PAOLA</t>
  </si>
  <si>
    <t>RUFFINI AGUSTIN</t>
  </si>
  <si>
    <t>178-179</t>
  </si>
  <si>
    <t>FERREYRA MARTIN</t>
  </si>
  <si>
    <t>RUFFINI GABRIEL HORACIO</t>
  </si>
  <si>
    <t>31693771-3</t>
  </si>
  <si>
    <t>G-CHO26-02435</t>
  </si>
  <si>
    <t>HE</t>
  </si>
  <si>
    <t>B940</t>
  </si>
  <si>
    <t>D081</t>
  </si>
  <si>
    <t>D453</t>
  </si>
  <si>
    <t>D151</t>
  </si>
  <si>
    <t>D365</t>
  </si>
  <si>
    <t>31693850-7</t>
  </si>
  <si>
    <t>G-CHO26-02434</t>
  </si>
  <si>
    <t>SARASOLA ESMIR ANTONIO</t>
  </si>
  <si>
    <t>31693013-1</t>
  </si>
  <si>
    <t>G-CHO26-02425</t>
  </si>
  <si>
    <t>AA</t>
  </si>
  <si>
    <t>CA</t>
  </si>
  <si>
    <t>E488</t>
  </si>
  <si>
    <t>B044</t>
  </si>
  <si>
    <t>B109</t>
  </si>
  <si>
    <t>A331</t>
  </si>
  <si>
    <t>C481</t>
  </si>
  <si>
    <t>A530</t>
  </si>
  <si>
    <t>C494</t>
  </si>
  <si>
    <t>S/C</t>
  </si>
  <si>
    <t>A232</t>
  </si>
  <si>
    <t>A260</t>
  </si>
  <si>
    <t>C492</t>
  </si>
  <si>
    <t>C504</t>
  </si>
  <si>
    <t>C509</t>
  </si>
  <si>
    <t>I563</t>
  </si>
  <si>
    <t>A063</t>
  </si>
  <si>
    <t>C484</t>
  </si>
  <si>
    <t>VINCENTY PEDRO JORGE</t>
  </si>
  <si>
    <t>31692253-8</t>
  </si>
  <si>
    <t>G-CHO26-02421</t>
  </si>
  <si>
    <t>A041</t>
  </si>
  <si>
    <t>A048</t>
  </si>
  <si>
    <t>A005</t>
  </si>
  <si>
    <t>A001</t>
  </si>
  <si>
    <t>2D - MEJ</t>
  </si>
  <si>
    <t>2D - VQ</t>
  </si>
  <si>
    <t>2D - NT</t>
  </si>
  <si>
    <t>23 2 DECOMISOS 10.3KG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</si>
</sst>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2"/>
      <color theme="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0" fillId="0" borderId="0" xfId="0" applyFont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0" borderId="1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6" xfId="0" applyFont="1" applyBorder="1"/>
    <xf numFmtId="0" fontId="1" fillId="0" borderId="5" xfId="0" applyFont="1" applyBorder="1"/>
    <xf numFmtId="0" fontId="1" fillId="0" borderId="6" xfId="0" applyFont="1" applyFill="1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29" xfId="0" applyFont="1" applyBorder="1" applyAlignment="1">
      <alignment horizontal="right"/>
    </xf>
    <xf numFmtId="14" fontId="0" fillId="0" borderId="29" xfId="0" applyNumberFormat="1" applyBorder="1" applyAlignment="1">
      <alignment horizontal="center"/>
    </xf>
    <xf numFmtId="14" fontId="1" fillId="0" borderId="29" xfId="0" applyNumberFormat="1" applyFont="1" applyBorder="1" applyAlignment="1">
      <alignment horizontal="right"/>
    </xf>
    <xf numFmtId="0" fontId="1" fillId="0" borderId="30" xfId="0" applyFont="1" applyFill="1" applyBorder="1" applyAlignment="1">
      <alignment horizontal="right" vertical="center"/>
    </xf>
    <xf numFmtId="0" fontId="0" fillId="0" borderId="30" xfId="0" applyBorder="1"/>
    <xf numFmtId="0" fontId="2" fillId="0" borderId="29" xfId="0" applyFont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/>
    </xf>
    <xf numFmtId="0" fontId="0" fillId="0" borderId="29" xfId="0" applyBorder="1" applyAlignment="1">
      <alignment horizontal="left" vertical="center"/>
    </xf>
    <xf numFmtId="0" fontId="0" fillId="2" borderId="29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Font="1" applyBorder="1" applyAlignment="1">
      <alignment horizontal="right" vertical="center"/>
    </xf>
    <xf numFmtId="0" fontId="0" fillId="0" borderId="38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6" fillId="0" borderId="0" xfId="0" applyFont="1"/>
    <xf numFmtId="2" fontId="6" fillId="0" borderId="0" xfId="0" applyNumberFormat="1" applyFont="1"/>
    <xf numFmtId="0" fontId="6" fillId="0" borderId="18" xfId="0" applyFont="1" applyBorder="1"/>
    <xf numFmtId="0" fontId="6" fillId="0" borderId="19" xfId="0" applyFont="1" applyBorder="1"/>
    <xf numFmtId="2" fontId="6" fillId="0" borderId="19" xfId="0" applyNumberFormat="1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0" xfId="0" applyFont="1" applyBorder="1"/>
    <xf numFmtId="0" fontId="7" fillId="0" borderId="41" xfId="0" applyFont="1" applyBorder="1" applyAlignment="1">
      <alignment horizontal="center" vertical="center"/>
    </xf>
    <xf numFmtId="10" fontId="7" fillId="0" borderId="41" xfId="0" applyNumberFormat="1" applyFont="1" applyBorder="1" applyAlignment="1">
      <alignment vertical="center"/>
    </xf>
    <xf numFmtId="0" fontId="6" fillId="0" borderId="22" xfId="0" applyFont="1" applyBorder="1"/>
    <xf numFmtId="2" fontId="6" fillId="0" borderId="0" xfId="0" applyNumberFormat="1" applyFont="1" applyBorder="1"/>
    <xf numFmtId="2" fontId="7" fillId="0" borderId="41" xfId="0" applyNumberFormat="1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3" xfId="0" applyFont="1" applyBorder="1"/>
    <xf numFmtId="0" fontId="6" fillId="0" borderId="24" xfId="0" applyFont="1" applyBorder="1"/>
    <xf numFmtId="2" fontId="6" fillId="0" borderId="24" xfId="0" applyNumberFormat="1" applyFont="1" applyBorder="1"/>
    <xf numFmtId="0" fontId="6" fillId="0" borderId="25" xfId="0" applyFont="1" applyBorder="1"/>
    <xf numFmtId="0" fontId="6" fillId="0" borderId="21" xfId="0" applyFont="1" applyBorder="1" applyAlignment="1">
      <alignment horizontal="right"/>
    </xf>
    <xf numFmtId="2" fontId="6" fillId="0" borderId="24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6" fillId="0" borderId="24" xfId="0" applyFont="1" applyBorder="1" applyAlignment="1">
      <alignment horizontal="right"/>
    </xf>
    <xf numFmtId="0" fontId="7" fillId="0" borderId="24" xfId="0" applyFont="1" applyBorder="1" applyAlignment="1">
      <alignment vertical="center"/>
    </xf>
    <xf numFmtId="1" fontId="7" fillId="0" borderId="24" xfId="0" applyNumberFormat="1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1" fontId="11" fillId="0" borderId="30" xfId="1" applyNumberFormat="1" applyFont="1" applyFill="1" applyBorder="1" applyAlignment="1">
      <alignment horizontal="center" vertical="center"/>
    </xf>
    <xf numFmtId="10" fontId="10" fillId="0" borderId="30" xfId="1" applyNumberFormat="1" applyFont="1" applyBorder="1" applyAlignment="1">
      <alignment horizontal="right"/>
    </xf>
    <xf numFmtId="0" fontId="9" fillId="0" borderId="39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1" fontId="11" fillId="0" borderId="39" xfId="1" applyNumberFormat="1" applyFont="1" applyFill="1" applyBorder="1" applyAlignment="1">
      <alignment horizontal="center" vertical="center"/>
    </xf>
    <xf numFmtId="10" fontId="10" fillId="0" borderId="39" xfId="1" applyNumberFormat="1" applyFont="1" applyBorder="1" applyAlignment="1">
      <alignment horizontal="right"/>
    </xf>
    <xf numFmtId="10" fontId="10" fillId="0" borderId="39" xfId="1" applyNumberFormat="1" applyFont="1" applyFill="1" applyBorder="1" applyAlignment="1">
      <alignment horizontal="right"/>
    </xf>
    <xf numFmtId="1" fontId="9" fillId="0" borderId="39" xfId="1" applyNumberFormat="1" applyFont="1" applyBorder="1" applyAlignment="1">
      <alignment horizontal="center" vertical="center"/>
    </xf>
    <xf numFmtId="4" fontId="9" fillId="0" borderId="40" xfId="0" applyNumberFormat="1" applyFont="1" applyBorder="1" applyAlignment="1">
      <alignment horizontal="center"/>
    </xf>
    <xf numFmtId="1" fontId="9" fillId="0" borderId="29" xfId="1" applyNumberFormat="1" applyFont="1" applyBorder="1" applyAlignment="1">
      <alignment horizontal="center" vertical="center"/>
    </xf>
    <xf numFmtId="4" fontId="9" fillId="0" borderId="29" xfId="0" applyNumberFormat="1" applyFont="1" applyBorder="1"/>
    <xf numFmtId="10" fontId="10" fillId="0" borderId="29" xfId="1" applyNumberFormat="1" applyFont="1" applyBorder="1"/>
    <xf numFmtId="10" fontId="6" fillId="0" borderId="0" xfId="0" applyNumberFormat="1" applyFont="1"/>
    <xf numFmtId="0" fontId="0" fillId="0" borderId="16" xfId="0" applyBorder="1" applyAlignment="1">
      <alignment horizontal="center" vertical="center"/>
    </xf>
    <xf numFmtId="0" fontId="0" fillId="0" borderId="26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29" xfId="0" applyFont="1" applyBorder="1" applyAlignment="1">
      <alignment horizontal="center"/>
    </xf>
    <xf numFmtId="14" fontId="12" fillId="0" borderId="29" xfId="0" applyNumberFormat="1" applyFont="1" applyBorder="1" applyAlignment="1">
      <alignment horizontal="center"/>
    </xf>
    <xf numFmtId="0" fontId="6" fillId="0" borderId="29" xfId="0" applyFont="1" applyFill="1" applyBorder="1" applyAlignment="1">
      <alignment horizontal="center"/>
    </xf>
    <xf numFmtId="2" fontId="6" fillId="0" borderId="29" xfId="0" applyNumberFormat="1" applyFont="1" applyFill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9" fillId="0" borderId="29" xfId="0" applyFont="1" applyBorder="1" applyAlignment="1">
      <alignment horizontal="center"/>
    </xf>
    <xf numFmtId="2" fontId="7" fillId="0" borderId="0" xfId="0" applyNumberFormat="1" applyFont="1"/>
    <xf numFmtId="2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1" fontId="7" fillId="0" borderId="0" xfId="0" applyNumberFormat="1" applyFont="1" applyAlignment="1">
      <alignment vertical="center"/>
    </xf>
    <xf numFmtId="2" fontId="14" fillId="0" borderId="29" xfId="0" applyNumberFormat="1" applyFont="1" applyBorder="1" applyAlignment="1">
      <alignment horizontal="center" vertical="center" wrapText="1"/>
    </xf>
    <xf numFmtId="2" fontId="14" fillId="0" borderId="11" xfId="0" applyNumberFormat="1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39" xfId="0" applyFont="1" applyBorder="1"/>
    <xf numFmtId="2" fontId="6" fillId="0" borderId="47" xfId="0" applyNumberFormat="1" applyFont="1" applyBorder="1"/>
    <xf numFmtId="2" fontId="6" fillId="0" borderId="29" xfId="0" applyNumberFormat="1" applyFont="1" applyBorder="1"/>
    <xf numFmtId="2" fontId="6" fillId="0" borderId="11" xfId="0" applyNumberFormat="1" applyFont="1" applyBorder="1"/>
    <xf numFmtId="0" fontId="6" fillId="0" borderId="29" xfId="0" applyFont="1" applyBorder="1"/>
    <xf numFmtId="2" fontId="6" fillId="0" borderId="43" xfId="0" applyNumberFormat="1" applyFont="1" applyBorder="1"/>
    <xf numFmtId="0" fontId="14" fillId="0" borderId="0" xfId="0" applyFont="1"/>
    <xf numFmtId="2" fontId="14" fillId="0" borderId="0" xfId="0" applyNumberFormat="1" applyFont="1"/>
    <xf numFmtId="0" fontId="14" fillId="0" borderId="29" xfId="0" applyFont="1" applyBorder="1" applyAlignment="1">
      <alignment horizontal="center" vertical="center" wrapText="1"/>
    </xf>
    <xf numFmtId="10" fontId="6" fillId="0" borderId="30" xfId="1" applyNumberFormat="1" applyFont="1" applyBorder="1" applyAlignment="1">
      <alignment horizontal="center"/>
    </xf>
    <xf numFmtId="2" fontId="6" fillId="0" borderId="30" xfId="0" applyNumberFormat="1" applyFont="1" applyBorder="1"/>
    <xf numFmtId="0" fontId="6" fillId="0" borderId="39" xfId="0" applyFont="1" applyBorder="1" applyAlignment="1">
      <alignment horizontal="center"/>
    </xf>
    <xf numFmtId="2" fontId="6" fillId="0" borderId="39" xfId="0" applyNumberFormat="1" applyFont="1" applyBorder="1"/>
    <xf numFmtId="10" fontId="6" fillId="0" borderId="39" xfId="1" applyNumberFormat="1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2" fontId="6" fillId="0" borderId="40" xfId="0" applyNumberFormat="1" applyFont="1" applyBorder="1"/>
    <xf numFmtId="10" fontId="6" fillId="0" borderId="29" xfId="1" applyNumberFormat="1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22" xfId="0" applyFont="1" applyBorder="1" applyAlignment="1">
      <alignment horizontal="left"/>
    </xf>
    <xf numFmtId="2" fontId="6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2" fontId="9" fillId="0" borderId="30" xfId="0" applyNumberFormat="1" applyFont="1" applyBorder="1" applyAlignment="1">
      <alignment horizontal="center" vertical="center" wrapText="1"/>
    </xf>
    <xf numFmtId="2" fontId="9" fillId="0" borderId="40" xfId="0" applyNumberFormat="1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/>
    </xf>
    <xf numFmtId="0" fontId="13" fillId="0" borderId="4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9" xfId="0" applyFont="1" applyBorder="1" applyAlignment="1">
      <alignment horizontal="left"/>
    </xf>
    <xf numFmtId="0" fontId="6" fillId="0" borderId="40" xfId="0" applyFont="1" applyBorder="1" applyAlignment="1">
      <alignment horizontal="left"/>
    </xf>
    <xf numFmtId="0" fontId="6" fillId="0" borderId="29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13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left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7" fillId="3" borderId="29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0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4" fontId="11" fillId="0" borderId="36" xfId="0" applyNumberFormat="1" applyFont="1" applyBorder="1" applyAlignment="1">
      <alignment horizontal="center"/>
    </xf>
    <xf numFmtId="4" fontId="11" fillId="0" borderId="45" xfId="0" applyNumberFormat="1" applyFont="1" applyBorder="1" applyAlignment="1">
      <alignment horizontal="center"/>
    </xf>
    <xf numFmtId="4" fontId="9" fillId="0" borderId="45" xfId="0" applyNumberFormat="1" applyFont="1" applyBorder="1" applyAlignment="1">
      <alignment horizontal="center"/>
    </xf>
    <xf numFmtId="4" fontId="9" fillId="0" borderId="48" xfId="0" applyNumberFormat="1" applyFont="1" applyBorder="1"/>
    <xf numFmtId="4" fontId="9" fillId="0" borderId="47" xfId="0" applyNumberFormat="1" applyFont="1" applyBorder="1"/>
    <xf numFmtId="2" fontId="9" fillId="0" borderId="39" xfId="0" applyNumberFormat="1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4" fontId="9" fillId="0" borderId="40" xfId="1" applyNumberFormat="1" applyFont="1" applyBorder="1" applyAlignment="1">
      <alignment horizontal="center" vertical="center"/>
    </xf>
    <xf numFmtId="0" fontId="0" fillId="0" borderId="48" xfId="0" applyFont="1" applyBorder="1" applyAlignment="1">
      <alignment horizontal="center"/>
    </xf>
    <xf numFmtId="0" fontId="0" fillId="0" borderId="47" xfId="0" applyFont="1" applyBorder="1" applyAlignment="1">
      <alignment horizontal="center"/>
    </xf>
    <xf numFmtId="0" fontId="0" fillId="0" borderId="47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39" xfId="0" applyFont="1" applyBorder="1" applyAlignment="1">
      <alignment horizont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6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514475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57"/>
  <sheetViews>
    <sheetView topLeftCell="A18" zoomScaleNormal="100" workbookViewId="0">
      <selection activeCell="N29" sqref="B2:N29"/>
    </sheetView>
  </sheetViews>
  <sheetFormatPr baseColWidth="10" defaultColWidth="12.42578125" defaultRowHeight="15.75" x14ac:dyDescent="0.25"/>
  <cols>
    <col min="1" max="1" width="4" style="58" customWidth="1"/>
    <col min="2" max="2" width="3.7109375" style="58" customWidth="1"/>
    <col min="3" max="3" width="9.5703125" style="58" customWidth="1"/>
    <col min="4" max="4" width="9.7109375" style="58" customWidth="1"/>
    <col min="5" max="5" width="6.42578125" style="58" customWidth="1"/>
    <col min="6" max="7" width="12.7109375" style="58" customWidth="1"/>
    <col min="8" max="8" width="17.42578125" style="59" customWidth="1"/>
    <col min="9" max="9" width="12.7109375" style="58" customWidth="1"/>
    <col min="10" max="10" width="14.42578125" style="59" bestFit="1" customWidth="1"/>
    <col min="11" max="12" width="12.7109375" style="58" customWidth="1"/>
    <col min="13" max="13" width="12.42578125" style="58"/>
    <col min="14" max="14" width="3.7109375" style="58" customWidth="1"/>
    <col min="15" max="16384" width="12.42578125" style="58"/>
  </cols>
  <sheetData>
    <row r="1" spans="2:14" ht="16.5" thickBot="1" x14ac:dyDescent="0.3"/>
    <row r="2" spans="2:14" ht="17.25" thickTop="1" thickBot="1" x14ac:dyDescent="0.3">
      <c r="B2" s="60"/>
      <c r="C2" s="61"/>
      <c r="D2" s="61"/>
      <c r="E2" s="61"/>
      <c r="F2" s="61"/>
      <c r="G2" s="61"/>
      <c r="H2" s="62"/>
      <c r="I2" s="61"/>
      <c r="J2" s="62"/>
      <c r="K2" s="61"/>
      <c r="L2" s="61"/>
      <c r="M2" s="61"/>
      <c r="N2" s="63"/>
    </row>
    <row r="3" spans="2:14" ht="17.25" thickTop="1" thickBot="1" x14ac:dyDescent="0.3">
      <c r="B3" s="64"/>
      <c r="G3" s="58" t="s">
        <v>53</v>
      </c>
      <c r="H3" s="58"/>
      <c r="J3" s="58"/>
      <c r="K3" s="66" t="s">
        <v>25</v>
      </c>
      <c r="L3" s="67">
        <f>+M28</f>
        <v>0.54725388601036273</v>
      </c>
      <c r="N3" s="68"/>
    </row>
    <row r="4" spans="2:14" ht="17.25" thickTop="1" thickBot="1" x14ac:dyDescent="0.3">
      <c r="B4" s="64"/>
      <c r="G4" s="59" t="s">
        <v>54</v>
      </c>
      <c r="K4" s="66" t="s">
        <v>26</v>
      </c>
      <c r="L4" s="70">
        <f>+L28/D28</f>
        <v>176.03333333333333</v>
      </c>
      <c r="N4" s="68"/>
    </row>
    <row r="5" spans="2:14" ht="16.5" thickTop="1" x14ac:dyDescent="0.25">
      <c r="B5" s="64"/>
      <c r="G5" s="59" t="s">
        <v>55</v>
      </c>
      <c r="K5" s="71"/>
      <c r="L5" s="72"/>
      <c r="N5" s="68"/>
    </row>
    <row r="6" spans="2:14" ht="16.5" thickBot="1" x14ac:dyDescent="0.3">
      <c r="B6" s="73"/>
      <c r="C6" s="74"/>
      <c r="D6" s="74"/>
      <c r="E6" s="74"/>
      <c r="F6" s="74"/>
      <c r="G6" s="74"/>
      <c r="H6" s="75"/>
      <c r="I6" s="74"/>
      <c r="J6" s="75"/>
      <c r="K6" s="74"/>
      <c r="L6" s="74"/>
      <c r="M6" s="74"/>
      <c r="N6" s="76"/>
    </row>
    <row r="7" spans="2:14" ht="8.1" customHeight="1" thickTop="1" x14ac:dyDescent="0.25">
      <c r="B7" s="60"/>
      <c r="C7" s="61"/>
      <c r="D7" s="61"/>
      <c r="E7" s="61"/>
      <c r="F7" s="61"/>
      <c r="G7" s="61"/>
      <c r="H7" s="62"/>
      <c r="I7" s="60"/>
      <c r="J7" s="62"/>
      <c r="K7" s="61"/>
      <c r="L7" s="61"/>
      <c r="M7" s="61"/>
      <c r="N7" s="63"/>
    </row>
    <row r="8" spans="2:14" x14ac:dyDescent="0.25">
      <c r="B8" s="64"/>
      <c r="C8" s="149" t="s">
        <v>56</v>
      </c>
      <c r="D8" s="149"/>
      <c r="E8" s="150" t="s">
        <v>100</v>
      </c>
      <c r="F8" s="150"/>
      <c r="G8" s="150"/>
      <c r="H8" s="151"/>
      <c r="I8" s="77" t="s">
        <v>57</v>
      </c>
      <c r="J8" s="153" t="s">
        <v>104</v>
      </c>
      <c r="K8" s="153"/>
      <c r="L8" s="153"/>
      <c r="M8" s="153"/>
      <c r="N8" s="68"/>
    </row>
    <row r="9" spans="2:14" x14ac:dyDescent="0.25">
      <c r="B9" s="64"/>
      <c r="C9" s="152" t="s">
        <v>58</v>
      </c>
      <c r="D9" s="152"/>
      <c r="E9" s="150">
        <v>69675</v>
      </c>
      <c r="F9" s="150"/>
      <c r="G9" s="150"/>
      <c r="H9" s="151"/>
      <c r="I9" s="77" t="s">
        <v>59</v>
      </c>
      <c r="J9" s="119" t="s">
        <v>105</v>
      </c>
      <c r="K9" s="105" t="s">
        <v>60</v>
      </c>
      <c r="L9" s="146" t="s">
        <v>106</v>
      </c>
      <c r="M9" s="146"/>
      <c r="N9" s="68"/>
    </row>
    <row r="10" spans="2:14" x14ac:dyDescent="0.25">
      <c r="B10" s="64"/>
      <c r="C10" s="120"/>
      <c r="D10" s="120"/>
      <c r="E10" s="121"/>
      <c r="F10" s="121"/>
      <c r="G10" s="121"/>
      <c r="H10" s="107"/>
      <c r="I10" s="77" t="s">
        <v>84</v>
      </c>
      <c r="J10" s="145">
        <v>46147</v>
      </c>
      <c r="K10" s="105" t="s">
        <v>85</v>
      </c>
      <c r="L10" s="148">
        <v>0.63888888888888895</v>
      </c>
      <c r="M10" s="146"/>
      <c r="N10" s="68"/>
    </row>
    <row r="11" spans="2:14" ht="8.1" customHeight="1" thickBot="1" x14ac:dyDescent="0.3">
      <c r="B11" s="73"/>
      <c r="C11" s="78"/>
      <c r="D11" s="78"/>
      <c r="E11" s="74"/>
      <c r="F11" s="74"/>
      <c r="G11" s="74"/>
      <c r="H11" s="75"/>
      <c r="I11" s="73"/>
      <c r="J11" s="75"/>
      <c r="K11" s="74"/>
      <c r="L11" s="74"/>
      <c r="M11" s="74"/>
      <c r="N11" s="76"/>
    </row>
    <row r="12" spans="2:14" ht="8.1" customHeight="1" thickTop="1" x14ac:dyDescent="0.25">
      <c r="B12" s="64"/>
      <c r="C12" s="79"/>
      <c r="D12" s="79"/>
      <c r="E12" s="65"/>
      <c r="F12" s="65"/>
      <c r="G12" s="65"/>
      <c r="H12" s="69"/>
      <c r="I12" s="65"/>
      <c r="J12" s="69"/>
      <c r="K12" s="65"/>
      <c r="L12" s="65"/>
      <c r="M12" s="65"/>
      <c r="N12" s="68"/>
    </row>
    <row r="13" spans="2:14" ht="8.1" customHeight="1" x14ac:dyDescent="0.25">
      <c r="B13" s="64"/>
      <c r="C13" s="122"/>
      <c r="D13" s="122"/>
      <c r="N13" s="68"/>
    </row>
    <row r="14" spans="2:14" x14ac:dyDescent="0.25">
      <c r="B14" s="64"/>
      <c r="D14" s="105" t="s">
        <v>77</v>
      </c>
      <c r="E14" s="147">
        <v>46148</v>
      </c>
      <c r="F14" s="147"/>
      <c r="H14" s="58"/>
      <c r="I14" s="80"/>
      <c r="J14" s="58"/>
      <c r="K14" s="108" t="s">
        <v>61</v>
      </c>
      <c r="L14" s="108" t="s">
        <v>62</v>
      </c>
      <c r="N14" s="68"/>
    </row>
    <row r="15" spans="2:14" x14ac:dyDescent="0.25">
      <c r="B15" s="64"/>
      <c r="C15" s="149" t="s">
        <v>63</v>
      </c>
      <c r="D15" s="149"/>
      <c r="E15" s="154">
        <v>176</v>
      </c>
      <c r="F15" s="154"/>
      <c r="H15" s="58"/>
      <c r="I15" s="80"/>
      <c r="J15" s="108" t="s">
        <v>64</v>
      </c>
      <c r="K15" s="106">
        <f>+COUNTIF($G$24:$G$28,"VQ")*2</f>
        <v>0</v>
      </c>
      <c r="L15" s="106">
        <f>+SUMIF($G$25:$G$27,"VQ",$L$25:$L$27)</f>
        <v>0</v>
      </c>
      <c r="N15" s="68"/>
    </row>
    <row r="16" spans="2:14" x14ac:dyDescent="0.25">
      <c r="B16" s="64"/>
      <c r="C16" s="149" t="s">
        <v>65</v>
      </c>
      <c r="D16" s="149"/>
      <c r="E16" s="146">
        <v>3</v>
      </c>
      <c r="F16" s="146"/>
      <c r="H16" s="58"/>
      <c r="I16" s="80"/>
      <c r="J16" s="108" t="s">
        <v>66</v>
      </c>
      <c r="K16" s="106">
        <f>+COUNTIF($G$24:$G$28,"NT")*2</f>
        <v>6</v>
      </c>
      <c r="L16" s="106">
        <f>+SUMIF($G$25:$G$27,"NT",$L$25:$L$27)</f>
        <v>528.1</v>
      </c>
      <c r="N16" s="68"/>
    </row>
    <row r="17" spans="2:14" x14ac:dyDescent="0.25">
      <c r="B17" s="64"/>
      <c r="C17" s="149" t="s">
        <v>67</v>
      </c>
      <c r="D17" s="149"/>
      <c r="E17" s="155">
        <f>+I28</f>
        <v>965</v>
      </c>
      <c r="F17" s="146"/>
      <c r="H17" s="58"/>
      <c r="I17" s="80"/>
      <c r="J17" s="108" t="s">
        <v>68</v>
      </c>
      <c r="K17" s="106">
        <f>+COUNTIF($G$24:$G$28,"NO")*2</f>
        <v>0</v>
      </c>
      <c r="L17" s="106">
        <f>+SUMIF($G$25:$G$27,"NO",$L$25:$L$27)</f>
        <v>0</v>
      </c>
      <c r="N17" s="68"/>
    </row>
    <row r="18" spans="2:14" x14ac:dyDescent="0.25">
      <c r="B18" s="64"/>
      <c r="C18" s="149" t="s">
        <v>69</v>
      </c>
      <c r="D18" s="149"/>
      <c r="E18" s="155">
        <f>+L28</f>
        <v>528.1</v>
      </c>
      <c r="F18" s="146"/>
      <c r="H18" s="58"/>
      <c r="I18" s="80"/>
      <c r="J18" s="108" t="s">
        <v>70</v>
      </c>
      <c r="K18" s="106">
        <f>+COUNTIF($G$24:$G$28,"TO")*2</f>
        <v>0</v>
      </c>
      <c r="L18" s="106">
        <f>+SUMIF($G$25:$G$27,"TO",$L$25:$L$27)</f>
        <v>0</v>
      </c>
      <c r="N18" s="68"/>
    </row>
    <row r="19" spans="2:14" x14ac:dyDescent="0.25">
      <c r="B19" s="64"/>
      <c r="C19" s="149" t="s">
        <v>71</v>
      </c>
      <c r="D19" s="149"/>
      <c r="E19" s="156">
        <f>+M28</f>
        <v>0.54725388601036273</v>
      </c>
      <c r="F19" s="146"/>
      <c r="G19" s="80"/>
      <c r="H19" s="123"/>
      <c r="I19" s="80"/>
      <c r="J19" s="108" t="s">
        <v>72</v>
      </c>
      <c r="K19" s="106">
        <f>+COUNTIF($G$24:$G$28,"VA")*2</f>
        <v>0</v>
      </c>
      <c r="L19" s="106">
        <f>+SUMIF($G$25:$G$27,"VA",$L$25:$L$27)</f>
        <v>0</v>
      </c>
      <c r="N19" s="68"/>
    </row>
    <row r="20" spans="2:14" x14ac:dyDescent="0.25">
      <c r="B20" s="64"/>
      <c r="C20" s="149" t="s">
        <v>73</v>
      </c>
      <c r="D20" s="149"/>
      <c r="E20" s="153">
        <f>+L28/D28</f>
        <v>176.03333333333333</v>
      </c>
      <c r="F20" s="153"/>
      <c r="G20" s="80"/>
      <c r="H20" s="123"/>
      <c r="I20" s="80"/>
      <c r="J20" s="108" t="s">
        <v>74</v>
      </c>
      <c r="K20" s="106">
        <f>+COUNTIF($G$24:$G$28,"MEJ")*2</f>
        <v>0</v>
      </c>
      <c r="L20" s="106">
        <f>+SUMIF($G$25:$G$27,"MEJ",$L$25:$L$27)</f>
        <v>0</v>
      </c>
      <c r="N20" s="68"/>
    </row>
    <row r="21" spans="2:14" ht="9.9499999999999993" customHeight="1" thickBot="1" x14ac:dyDescent="0.3">
      <c r="B21" s="73"/>
      <c r="C21" s="81"/>
      <c r="D21" s="81"/>
      <c r="E21" s="74"/>
      <c r="F21" s="74"/>
      <c r="G21" s="82"/>
      <c r="H21" s="83"/>
      <c r="I21" s="82"/>
      <c r="J21" s="74"/>
      <c r="K21" s="74"/>
      <c r="L21" s="74"/>
      <c r="M21" s="74"/>
      <c r="N21" s="76"/>
    </row>
    <row r="22" spans="2:14" ht="9.9499999999999993" customHeight="1" thickTop="1" x14ac:dyDescent="0.25">
      <c r="B22" s="64"/>
      <c r="N22" s="68"/>
    </row>
    <row r="23" spans="2:14" s="86" customFormat="1" ht="26.25" customHeight="1" x14ac:dyDescent="0.25">
      <c r="B23" s="84"/>
      <c r="C23" s="163" t="s">
        <v>27</v>
      </c>
      <c r="D23" s="163" t="s">
        <v>28</v>
      </c>
      <c r="E23" s="159" t="s">
        <v>52</v>
      </c>
      <c r="F23" s="166" t="s">
        <v>29</v>
      </c>
      <c r="G23" s="167"/>
      <c r="H23" s="168" t="s">
        <v>30</v>
      </c>
      <c r="I23" s="157" t="s">
        <v>31</v>
      </c>
      <c r="J23" s="157" t="s">
        <v>2</v>
      </c>
      <c r="K23" s="159" t="s">
        <v>3</v>
      </c>
      <c r="L23" s="157" t="s">
        <v>32</v>
      </c>
      <c r="M23" s="161" t="s">
        <v>33</v>
      </c>
      <c r="N23" s="85"/>
    </row>
    <row r="24" spans="2:14" x14ac:dyDescent="0.25">
      <c r="B24" s="64"/>
      <c r="C24" s="164"/>
      <c r="D24" s="165"/>
      <c r="E24" s="160"/>
      <c r="F24" s="208" t="s">
        <v>75</v>
      </c>
      <c r="G24" s="87" t="s">
        <v>76</v>
      </c>
      <c r="H24" s="169"/>
      <c r="I24" s="158"/>
      <c r="J24" s="218"/>
      <c r="K24" s="219"/>
      <c r="L24" s="158"/>
      <c r="M24" s="162"/>
      <c r="N24" s="68"/>
    </row>
    <row r="25" spans="2:14" x14ac:dyDescent="0.25">
      <c r="B25" s="64"/>
      <c r="C25" s="88">
        <v>26</v>
      </c>
      <c r="D25" s="88">
        <v>3</v>
      </c>
      <c r="E25" s="203" t="s">
        <v>107</v>
      </c>
      <c r="F25" s="210" t="s">
        <v>145</v>
      </c>
      <c r="G25" s="206" t="s">
        <v>66</v>
      </c>
      <c r="H25" s="89" t="s">
        <v>110</v>
      </c>
      <c r="I25" s="213">
        <v>298</v>
      </c>
      <c r="J25" s="225">
        <v>82.3</v>
      </c>
      <c r="K25" s="221">
        <v>83.9</v>
      </c>
      <c r="L25" s="216">
        <f t="shared" ref="L25:L27" si="0">+J25+K25</f>
        <v>166.2</v>
      </c>
      <c r="M25" s="90">
        <f t="shared" ref="M25:M28" si="1">+L25/I25</f>
        <v>0.55771812080536909</v>
      </c>
      <c r="N25" s="68"/>
    </row>
    <row r="26" spans="2:14" x14ac:dyDescent="0.25">
      <c r="B26" s="64"/>
      <c r="C26" s="91">
        <v>27</v>
      </c>
      <c r="D26" s="91">
        <v>2</v>
      </c>
      <c r="E26" s="204" t="s">
        <v>107</v>
      </c>
      <c r="F26" s="211" t="s">
        <v>145</v>
      </c>
      <c r="G26" s="207" t="s">
        <v>66</v>
      </c>
      <c r="H26" s="93" t="s">
        <v>109</v>
      </c>
      <c r="I26" s="214">
        <v>302</v>
      </c>
      <c r="J26" s="226">
        <v>79.900000000000006</v>
      </c>
      <c r="K26" s="222">
        <v>81.7</v>
      </c>
      <c r="L26" s="217">
        <f t="shared" si="0"/>
        <v>161.60000000000002</v>
      </c>
      <c r="M26" s="94">
        <f t="shared" si="1"/>
        <v>0.53509933774834439</v>
      </c>
      <c r="N26" s="68"/>
    </row>
    <row r="27" spans="2:14" x14ac:dyDescent="0.25">
      <c r="B27" s="64"/>
      <c r="C27" s="91">
        <v>28</v>
      </c>
      <c r="D27" s="91">
        <v>1</v>
      </c>
      <c r="E27" s="204" t="s">
        <v>107</v>
      </c>
      <c r="F27" s="212" t="s">
        <v>145</v>
      </c>
      <c r="G27" s="207" t="s">
        <v>66</v>
      </c>
      <c r="H27" s="93" t="s">
        <v>108</v>
      </c>
      <c r="I27" s="214">
        <v>365</v>
      </c>
      <c r="J27" s="228">
        <v>100.4</v>
      </c>
      <c r="K27" s="224">
        <v>99.9</v>
      </c>
      <c r="L27" s="217">
        <f t="shared" si="0"/>
        <v>200.3</v>
      </c>
      <c r="M27" s="94">
        <f t="shared" si="1"/>
        <v>0.5487671232876713</v>
      </c>
      <c r="N27" s="68"/>
    </row>
    <row r="28" spans="2:14" x14ac:dyDescent="0.25">
      <c r="B28" s="64"/>
      <c r="C28" s="104"/>
      <c r="D28" s="104">
        <f>+COUNT($D$24:$D$27)</f>
        <v>3</v>
      </c>
      <c r="E28" s="104"/>
      <c r="F28" s="209"/>
      <c r="G28" s="170"/>
      <c r="H28" s="98"/>
      <c r="I28" s="99">
        <f>SUM($I$24:$I$27)</f>
        <v>965</v>
      </c>
      <c r="J28" s="97">
        <f>SUM($J$24:$J$27)</f>
        <v>262.60000000000002</v>
      </c>
      <c r="K28" s="220">
        <f>SUM($K$24:$K$27)</f>
        <v>265.5</v>
      </c>
      <c r="L28" s="99">
        <f>SUM($L$24:$L$27)</f>
        <v>528.1</v>
      </c>
      <c r="M28" s="100">
        <f t="shared" si="1"/>
        <v>0.54725388601036273</v>
      </c>
      <c r="N28" s="68"/>
    </row>
    <row r="29" spans="2:14" ht="16.5" thickBot="1" x14ac:dyDescent="0.3">
      <c r="B29" s="73"/>
      <c r="C29" s="74"/>
      <c r="D29" s="74"/>
      <c r="E29" s="74"/>
      <c r="F29" s="74"/>
      <c r="G29" s="74"/>
      <c r="H29" s="75"/>
      <c r="I29" s="74"/>
      <c r="J29" s="75"/>
      <c r="K29" s="74"/>
      <c r="L29" s="74"/>
      <c r="M29" s="74"/>
      <c r="N29" s="76"/>
    </row>
    <row r="30" spans="2:14" ht="17.25" thickTop="1" thickBot="1" x14ac:dyDescent="0.3">
      <c r="B30" s="61"/>
      <c r="C30" s="61"/>
      <c r="D30" s="61"/>
      <c r="E30" s="61"/>
      <c r="F30" s="61"/>
      <c r="G30" s="61"/>
      <c r="H30" s="62"/>
      <c r="I30" s="61"/>
      <c r="J30" s="62"/>
      <c r="K30" s="61"/>
      <c r="L30" s="61"/>
      <c r="M30" s="61"/>
      <c r="N30" s="61"/>
    </row>
    <row r="31" spans="2:14" ht="16.5" thickTop="1" x14ac:dyDescent="0.25">
      <c r="B31" s="60"/>
      <c r="C31" s="61"/>
      <c r="D31" s="61"/>
      <c r="E31" s="61"/>
      <c r="F31" s="61"/>
      <c r="G31" s="61"/>
      <c r="H31" s="62"/>
      <c r="I31" s="61"/>
      <c r="J31" s="62"/>
      <c r="K31" s="61"/>
      <c r="L31" s="61"/>
      <c r="M31" s="61"/>
      <c r="N31" s="63"/>
    </row>
    <row r="32" spans="2:14" ht="32.25" customHeight="1" x14ac:dyDescent="0.25">
      <c r="B32" s="64"/>
      <c r="D32" s="171" t="s">
        <v>86</v>
      </c>
      <c r="E32" s="172"/>
      <c r="F32" s="172"/>
      <c r="G32" s="172"/>
      <c r="H32" s="124" t="s">
        <v>87</v>
      </c>
      <c r="I32" s="125" t="s">
        <v>62</v>
      </c>
      <c r="J32" s="126" t="s">
        <v>88</v>
      </c>
      <c r="K32" s="127" t="s">
        <v>89</v>
      </c>
      <c r="N32" s="68"/>
    </row>
    <row r="33" spans="2:14" x14ac:dyDescent="0.25">
      <c r="B33" s="64"/>
      <c r="D33" s="173" t="s">
        <v>20</v>
      </c>
      <c r="E33" s="174"/>
      <c r="F33" s="174"/>
      <c r="G33" s="174"/>
      <c r="H33" s="128"/>
      <c r="J33" s="128"/>
      <c r="K33" s="129"/>
      <c r="N33" s="68"/>
    </row>
    <row r="34" spans="2:14" x14ac:dyDescent="0.25">
      <c r="B34" s="64"/>
      <c r="D34" s="173" t="s">
        <v>7</v>
      </c>
      <c r="E34" s="174"/>
      <c r="F34" s="174"/>
      <c r="G34" s="174"/>
      <c r="H34" s="128"/>
      <c r="J34" s="128"/>
      <c r="K34" s="129"/>
      <c r="N34" s="68"/>
    </row>
    <row r="35" spans="2:14" x14ac:dyDescent="0.25">
      <c r="B35" s="64"/>
      <c r="D35" s="173" t="s">
        <v>6</v>
      </c>
      <c r="E35" s="174"/>
      <c r="F35" s="174"/>
      <c r="G35" s="174"/>
      <c r="H35" s="128"/>
      <c r="J35" s="128"/>
      <c r="K35" s="129"/>
      <c r="N35" s="68"/>
    </row>
    <row r="36" spans="2:14" x14ac:dyDescent="0.25">
      <c r="B36" s="64"/>
      <c r="D36" s="173" t="s">
        <v>10</v>
      </c>
      <c r="E36" s="174"/>
      <c r="F36" s="174"/>
      <c r="G36" s="174"/>
      <c r="H36" s="128"/>
      <c r="J36" s="128"/>
      <c r="K36" s="129"/>
      <c r="N36" s="68"/>
    </row>
    <row r="37" spans="2:14" x14ac:dyDescent="0.25">
      <c r="B37" s="64"/>
      <c r="D37" s="173" t="s">
        <v>21</v>
      </c>
      <c r="E37" s="174"/>
      <c r="F37" s="174"/>
      <c r="G37" s="174"/>
      <c r="H37" s="128"/>
      <c r="J37" s="128"/>
      <c r="K37" s="129"/>
      <c r="N37" s="68"/>
    </row>
    <row r="38" spans="2:14" x14ac:dyDescent="0.25">
      <c r="B38" s="64"/>
      <c r="D38" s="173" t="s">
        <v>5</v>
      </c>
      <c r="E38" s="174"/>
      <c r="F38" s="174"/>
      <c r="G38" s="174"/>
      <c r="H38" s="128"/>
      <c r="J38" s="128"/>
      <c r="K38" s="129"/>
      <c r="N38" s="68"/>
    </row>
    <row r="39" spans="2:14" x14ac:dyDescent="0.25">
      <c r="B39" s="64"/>
      <c r="D39" s="173" t="s">
        <v>22</v>
      </c>
      <c r="E39" s="174"/>
      <c r="F39" s="174"/>
      <c r="G39" s="174"/>
      <c r="H39" s="128"/>
      <c r="J39" s="128"/>
      <c r="K39" s="129"/>
      <c r="N39" s="68"/>
    </row>
    <row r="40" spans="2:14" x14ac:dyDescent="0.25">
      <c r="B40" s="64"/>
      <c r="D40" s="173" t="s">
        <v>8</v>
      </c>
      <c r="E40" s="174"/>
      <c r="F40" s="174"/>
      <c r="G40" s="174"/>
      <c r="H40" s="128"/>
      <c r="J40" s="128"/>
      <c r="K40" s="129"/>
      <c r="N40" s="68"/>
    </row>
    <row r="41" spans="2:14" x14ac:dyDescent="0.25">
      <c r="B41" s="64"/>
      <c r="D41" s="173" t="s">
        <v>23</v>
      </c>
      <c r="E41" s="174"/>
      <c r="F41" s="174"/>
      <c r="G41" s="174"/>
      <c r="H41" s="128"/>
      <c r="J41" s="128"/>
      <c r="K41" s="129"/>
      <c r="N41" s="68"/>
    </row>
    <row r="42" spans="2:14" x14ac:dyDescent="0.25">
      <c r="B42" s="64"/>
      <c r="D42" s="173" t="s">
        <v>36</v>
      </c>
      <c r="E42" s="174"/>
      <c r="F42" s="174"/>
      <c r="G42" s="174"/>
      <c r="H42" s="128"/>
      <c r="J42" s="128"/>
      <c r="K42" s="129"/>
      <c r="N42" s="68"/>
    </row>
    <row r="43" spans="2:14" x14ac:dyDescent="0.25">
      <c r="B43" s="64"/>
      <c r="D43" s="173" t="s">
        <v>9</v>
      </c>
      <c r="E43" s="174"/>
      <c r="F43" s="174"/>
      <c r="G43" s="174"/>
      <c r="H43" s="128"/>
      <c r="J43" s="128"/>
      <c r="K43" s="129"/>
      <c r="N43" s="68"/>
    </row>
    <row r="44" spans="2:14" x14ac:dyDescent="0.25">
      <c r="B44" s="64"/>
      <c r="D44" s="173" t="s">
        <v>24</v>
      </c>
      <c r="E44" s="174"/>
      <c r="F44" s="174"/>
      <c r="G44" s="174"/>
      <c r="H44" s="128"/>
      <c r="J44" s="128"/>
      <c r="K44" s="129"/>
      <c r="N44" s="68"/>
    </row>
    <row r="45" spans="2:14" x14ac:dyDescent="0.25">
      <c r="B45" s="64"/>
      <c r="D45" s="173" t="s">
        <v>37</v>
      </c>
      <c r="E45" s="174"/>
      <c r="F45" s="174"/>
      <c r="G45" s="174"/>
      <c r="H45" s="128"/>
      <c r="J45" s="128"/>
      <c r="K45" s="129"/>
      <c r="N45" s="68"/>
    </row>
    <row r="46" spans="2:14" x14ac:dyDescent="0.25">
      <c r="B46" s="64"/>
      <c r="D46" s="178" t="s">
        <v>90</v>
      </c>
      <c r="E46" s="179"/>
      <c r="F46" s="179"/>
      <c r="G46" s="180"/>
      <c r="H46" s="130"/>
      <c r="I46" s="131">
        <f>SUM(I33:I45)</f>
        <v>0</v>
      </c>
      <c r="J46" s="132">
        <f>SUM(J33:J45)</f>
        <v>0</v>
      </c>
      <c r="K46" s="133">
        <f>SUM(K33:K45)</f>
        <v>0</v>
      </c>
      <c r="N46" s="68"/>
    </row>
    <row r="47" spans="2:14" ht="16.5" thickBot="1" x14ac:dyDescent="0.3">
      <c r="B47" s="73"/>
      <c r="C47" s="74"/>
      <c r="D47" s="74"/>
      <c r="E47" s="74"/>
      <c r="F47" s="74"/>
      <c r="G47" s="74"/>
      <c r="H47" s="75"/>
      <c r="I47" s="74"/>
      <c r="J47" s="75"/>
      <c r="K47" s="74"/>
      <c r="L47" s="74"/>
      <c r="M47" s="74"/>
      <c r="N47" s="76"/>
    </row>
    <row r="48" spans="2:14" ht="16.5" thickTop="1" x14ac:dyDescent="0.25">
      <c r="B48" s="64"/>
      <c r="G48" s="134"/>
      <c r="H48" s="135"/>
      <c r="I48" s="134"/>
      <c r="J48" s="135"/>
      <c r="N48" s="68"/>
    </row>
    <row r="49" spans="2:14" ht="15.75" customHeight="1" x14ac:dyDescent="0.25">
      <c r="B49" s="64"/>
      <c r="F49" s="181" t="s">
        <v>91</v>
      </c>
      <c r="G49" s="181"/>
      <c r="H49" s="136" t="s">
        <v>92</v>
      </c>
      <c r="I49" s="124" t="s">
        <v>80</v>
      </c>
      <c r="N49" s="68"/>
    </row>
    <row r="50" spans="2:14" x14ac:dyDescent="0.25">
      <c r="B50" s="64"/>
      <c r="F50" s="182" t="s">
        <v>35</v>
      </c>
      <c r="G50" s="182"/>
      <c r="H50" s="137"/>
      <c r="I50" s="138"/>
      <c r="N50" s="68"/>
    </row>
    <row r="51" spans="2:14" x14ac:dyDescent="0.25">
      <c r="B51" s="64"/>
      <c r="F51" s="175" t="s">
        <v>93</v>
      </c>
      <c r="G51" s="175"/>
      <c r="H51" s="139">
        <f>+D28</f>
        <v>3</v>
      </c>
      <c r="I51" s="140"/>
      <c r="N51" s="68"/>
    </row>
    <row r="52" spans="2:14" x14ac:dyDescent="0.25">
      <c r="B52" s="64"/>
      <c r="F52" s="175" t="s">
        <v>94</v>
      </c>
      <c r="G52" s="175"/>
      <c r="H52" s="141"/>
      <c r="I52" s="140"/>
      <c r="N52" s="68"/>
    </row>
    <row r="53" spans="2:14" x14ac:dyDescent="0.25">
      <c r="B53" s="64"/>
      <c r="F53" s="175" t="s">
        <v>95</v>
      </c>
      <c r="G53" s="175"/>
      <c r="H53" s="141"/>
      <c r="I53" s="140"/>
      <c r="N53" s="68"/>
    </row>
    <row r="54" spans="2:14" x14ac:dyDescent="0.25">
      <c r="B54" s="64"/>
      <c r="F54" s="176" t="s">
        <v>96</v>
      </c>
      <c r="G54" s="176"/>
      <c r="H54" s="142"/>
      <c r="I54" s="143"/>
      <c r="N54" s="68"/>
    </row>
    <row r="55" spans="2:14" x14ac:dyDescent="0.25">
      <c r="B55" s="64"/>
      <c r="F55" s="177" t="s">
        <v>90</v>
      </c>
      <c r="G55" s="177"/>
      <c r="H55" s="144"/>
      <c r="I55" s="130">
        <f>SUM(I50:I54)</f>
        <v>0</v>
      </c>
      <c r="N55" s="68"/>
    </row>
    <row r="56" spans="2:14" ht="16.5" thickBot="1" x14ac:dyDescent="0.3">
      <c r="B56" s="73"/>
      <c r="C56" s="74"/>
      <c r="D56" s="74"/>
      <c r="E56" s="74"/>
      <c r="F56" s="74"/>
      <c r="G56" s="74"/>
      <c r="H56" s="75"/>
      <c r="I56" s="74"/>
      <c r="J56" s="75"/>
      <c r="K56" s="74"/>
      <c r="L56" s="74"/>
      <c r="M56" s="74"/>
      <c r="N56" s="76"/>
    </row>
    <row r="57" spans="2:14" ht="16.5" thickTop="1" x14ac:dyDescent="0.25">
      <c r="I57" s="101"/>
    </row>
  </sheetData>
  <sortState ref="C25:I27">
    <sortCondition ref="C25"/>
  </sortState>
  <mergeCells count="53">
    <mergeCell ref="F53:G53"/>
    <mergeCell ref="F54:G54"/>
    <mergeCell ref="F55:G55"/>
    <mergeCell ref="D46:G46"/>
    <mergeCell ref="F49:G49"/>
    <mergeCell ref="F50:G50"/>
    <mergeCell ref="F51:G51"/>
    <mergeCell ref="F52:G52"/>
    <mergeCell ref="D41:G41"/>
    <mergeCell ref="D42:G42"/>
    <mergeCell ref="D43:G43"/>
    <mergeCell ref="D44:G44"/>
    <mergeCell ref="D45:G45"/>
    <mergeCell ref="D36:G36"/>
    <mergeCell ref="D37:G37"/>
    <mergeCell ref="D38:G38"/>
    <mergeCell ref="D39:G39"/>
    <mergeCell ref="D40:G40"/>
    <mergeCell ref="F28:G28"/>
    <mergeCell ref="D32:G32"/>
    <mergeCell ref="D33:G33"/>
    <mergeCell ref="D34:G34"/>
    <mergeCell ref="D35:G35"/>
    <mergeCell ref="C23:C24"/>
    <mergeCell ref="D23:D24"/>
    <mergeCell ref="E23:E24"/>
    <mergeCell ref="F23:G23"/>
    <mergeCell ref="H23:H24"/>
    <mergeCell ref="I23:I24"/>
    <mergeCell ref="J23:J24"/>
    <mergeCell ref="K23:K24"/>
    <mergeCell ref="L23:L24"/>
    <mergeCell ref="M23:M24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L9:M9"/>
    <mergeCell ref="E14:F14"/>
    <mergeCell ref="L10:M10"/>
    <mergeCell ref="C8:D8"/>
    <mergeCell ref="E8:H8"/>
    <mergeCell ref="C9:D9"/>
    <mergeCell ref="E9:H9"/>
    <mergeCell ref="J8:M8"/>
  </mergeCells>
  <conditionalFormatting sqref="M25:M27">
    <cfRule type="cellIs" dxfId="3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56"/>
  <sheetViews>
    <sheetView view="pageBreakPreview" topLeftCell="A16" zoomScale="60" zoomScaleNormal="100" workbookViewId="0">
      <selection activeCell="J25" sqref="J25:J26"/>
    </sheetView>
  </sheetViews>
  <sheetFormatPr baseColWidth="10" defaultColWidth="12.42578125" defaultRowHeight="15.75" x14ac:dyDescent="0.25"/>
  <cols>
    <col min="1" max="1" width="4" style="58" customWidth="1"/>
    <col min="2" max="2" width="3.7109375" style="58" customWidth="1"/>
    <col min="3" max="3" width="9.5703125" style="58" customWidth="1"/>
    <col min="4" max="4" width="9.7109375" style="58" customWidth="1"/>
    <col min="5" max="5" width="6.42578125" style="58" customWidth="1"/>
    <col min="6" max="7" width="12.7109375" style="58" customWidth="1"/>
    <col min="8" max="8" width="17.42578125" style="59" customWidth="1"/>
    <col min="9" max="9" width="12.7109375" style="58" customWidth="1"/>
    <col min="10" max="10" width="14.42578125" style="59" bestFit="1" customWidth="1"/>
    <col min="11" max="12" width="12.7109375" style="58" customWidth="1"/>
    <col min="13" max="13" width="12.42578125" style="58"/>
    <col min="14" max="14" width="3.7109375" style="58" customWidth="1"/>
    <col min="15" max="16384" width="12.42578125" style="58"/>
  </cols>
  <sheetData>
    <row r="1" spans="2:14" ht="16.5" thickBot="1" x14ac:dyDescent="0.3"/>
    <row r="2" spans="2:14" ht="17.25" thickTop="1" thickBot="1" x14ac:dyDescent="0.3">
      <c r="B2" s="60"/>
      <c r="C2" s="61"/>
      <c r="D2" s="61"/>
      <c r="E2" s="61"/>
      <c r="F2" s="61"/>
      <c r="G2" s="61"/>
      <c r="H2" s="62"/>
      <c r="I2" s="61"/>
      <c r="J2" s="62"/>
      <c r="K2" s="61"/>
      <c r="L2" s="61"/>
      <c r="M2" s="61"/>
      <c r="N2" s="63"/>
    </row>
    <row r="3" spans="2:14" ht="17.25" thickTop="1" thickBot="1" x14ac:dyDescent="0.3">
      <c r="B3" s="64"/>
      <c r="G3" s="58" t="s">
        <v>53</v>
      </c>
      <c r="H3" s="58"/>
      <c r="J3" s="58"/>
      <c r="K3" s="66" t="s">
        <v>25</v>
      </c>
      <c r="L3" s="67">
        <f>+M27</f>
        <v>0.56140625</v>
      </c>
      <c r="N3" s="68"/>
    </row>
    <row r="4" spans="2:14" ht="17.25" thickTop="1" thickBot="1" x14ac:dyDescent="0.3">
      <c r="B4" s="64"/>
      <c r="G4" s="59" t="s">
        <v>54</v>
      </c>
      <c r="K4" s="66" t="s">
        <v>26</v>
      </c>
      <c r="L4" s="70">
        <f>+L27/D27</f>
        <v>179.65</v>
      </c>
      <c r="N4" s="68"/>
    </row>
    <row r="5" spans="2:14" ht="16.5" thickTop="1" x14ac:dyDescent="0.25">
      <c r="B5" s="64"/>
      <c r="G5" s="59" t="s">
        <v>55</v>
      </c>
      <c r="K5" s="71"/>
      <c r="L5" s="72"/>
      <c r="N5" s="68"/>
    </row>
    <row r="6" spans="2:14" ht="16.5" thickBot="1" x14ac:dyDescent="0.3">
      <c r="B6" s="73"/>
      <c r="C6" s="74"/>
      <c r="D6" s="74"/>
      <c r="E6" s="74"/>
      <c r="F6" s="74"/>
      <c r="G6" s="74"/>
      <c r="H6" s="75"/>
      <c r="I6" s="74"/>
      <c r="J6" s="75"/>
      <c r="K6" s="74"/>
      <c r="L6" s="74"/>
      <c r="M6" s="74"/>
      <c r="N6" s="76"/>
    </row>
    <row r="7" spans="2:14" ht="8.1" customHeight="1" thickTop="1" x14ac:dyDescent="0.25">
      <c r="B7" s="60"/>
      <c r="C7" s="61"/>
      <c r="D7" s="61"/>
      <c r="E7" s="61"/>
      <c r="F7" s="61"/>
      <c r="G7" s="61"/>
      <c r="H7" s="62"/>
      <c r="I7" s="60"/>
      <c r="J7" s="62"/>
      <c r="K7" s="61"/>
      <c r="L7" s="61"/>
      <c r="M7" s="61"/>
      <c r="N7" s="63"/>
    </row>
    <row r="8" spans="2:14" x14ac:dyDescent="0.25">
      <c r="B8" s="64"/>
      <c r="C8" s="149" t="s">
        <v>56</v>
      </c>
      <c r="D8" s="149"/>
      <c r="E8" s="150" t="s">
        <v>101</v>
      </c>
      <c r="F8" s="150"/>
      <c r="G8" s="150"/>
      <c r="H8" s="151"/>
      <c r="I8" s="77" t="s">
        <v>57</v>
      </c>
      <c r="J8" s="153" t="s">
        <v>104</v>
      </c>
      <c r="K8" s="153"/>
      <c r="L8" s="153"/>
      <c r="M8" s="153"/>
      <c r="N8" s="68"/>
    </row>
    <row r="9" spans="2:14" x14ac:dyDescent="0.25">
      <c r="B9" s="64"/>
      <c r="C9" s="152" t="s">
        <v>58</v>
      </c>
      <c r="D9" s="152"/>
      <c r="E9" s="150">
        <v>69656</v>
      </c>
      <c r="F9" s="150"/>
      <c r="G9" s="150"/>
      <c r="H9" s="151"/>
      <c r="I9" s="77" t="s">
        <v>59</v>
      </c>
      <c r="J9" s="119" t="s">
        <v>113</v>
      </c>
      <c r="K9" s="115" t="s">
        <v>60</v>
      </c>
      <c r="L9" s="146" t="s">
        <v>114</v>
      </c>
      <c r="M9" s="146"/>
      <c r="N9" s="68"/>
    </row>
    <row r="10" spans="2:14" x14ac:dyDescent="0.25">
      <c r="B10" s="64"/>
      <c r="C10" s="120"/>
      <c r="D10" s="120"/>
      <c r="E10" s="121"/>
      <c r="F10" s="121"/>
      <c r="G10" s="121"/>
      <c r="H10" s="107"/>
      <c r="I10" s="77" t="s">
        <v>84</v>
      </c>
      <c r="J10" s="145">
        <v>46147</v>
      </c>
      <c r="K10" s="115" t="s">
        <v>85</v>
      </c>
      <c r="L10" s="148">
        <v>0.63888888888888895</v>
      </c>
      <c r="M10" s="146"/>
      <c r="N10" s="68"/>
    </row>
    <row r="11" spans="2:14" ht="8.1" customHeight="1" thickBot="1" x14ac:dyDescent="0.3">
      <c r="B11" s="73"/>
      <c r="C11" s="78"/>
      <c r="D11" s="78"/>
      <c r="E11" s="74"/>
      <c r="F11" s="74"/>
      <c r="G11" s="74"/>
      <c r="H11" s="75"/>
      <c r="I11" s="73"/>
      <c r="J11" s="75"/>
      <c r="K11" s="74"/>
      <c r="L11" s="74"/>
      <c r="M11" s="74"/>
      <c r="N11" s="76"/>
    </row>
    <row r="12" spans="2:14" ht="8.1" customHeight="1" thickTop="1" x14ac:dyDescent="0.25">
      <c r="B12" s="64"/>
      <c r="C12" s="79"/>
      <c r="D12" s="79"/>
      <c r="E12" s="65"/>
      <c r="F12" s="65"/>
      <c r="G12" s="65"/>
      <c r="H12" s="69"/>
      <c r="I12" s="65"/>
      <c r="J12" s="69"/>
      <c r="K12" s="65"/>
      <c r="L12" s="65"/>
      <c r="M12" s="65"/>
      <c r="N12" s="68"/>
    </row>
    <row r="13" spans="2:14" ht="8.1" customHeight="1" x14ac:dyDescent="0.25">
      <c r="B13" s="64"/>
      <c r="C13" s="122"/>
      <c r="D13" s="122"/>
      <c r="N13" s="68"/>
    </row>
    <row r="14" spans="2:14" x14ac:dyDescent="0.25">
      <c r="B14" s="64"/>
      <c r="D14" s="115" t="s">
        <v>77</v>
      </c>
      <c r="E14" s="147">
        <v>46148</v>
      </c>
      <c r="F14" s="147"/>
      <c r="H14" s="58"/>
      <c r="I14" s="80"/>
      <c r="J14" s="58"/>
      <c r="K14" s="114" t="s">
        <v>61</v>
      </c>
      <c r="L14" s="114" t="s">
        <v>62</v>
      </c>
      <c r="N14" s="68"/>
    </row>
    <row r="15" spans="2:14" x14ac:dyDescent="0.25">
      <c r="B15" s="64"/>
      <c r="C15" s="149" t="s">
        <v>63</v>
      </c>
      <c r="D15" s="149"/>
      <c r="E15" s="154">
        <v>177</v>
      </c>
      <c r="F15" s="154"/>
      <c r="H15" s="58"/>
      <c r="I15" s="80"/>
      <c r="J15" s="114" t="s">
        <v>64</v>
      </c>
      <c r="K15" s="116">
        <f>+COUNTIF($G$24:$G$27,"VQ")*2</f>
        <v>0</v>
      </c>
      <c r="L15" s="116">
        <f>+SUMIF($G$25:$G$26,"VQ",$L$25:$L$26)</f>
        <v>0</v>
      </c>
      <c r="N15" s="68"/>
    </row>
    <row r="16" spans="2:14" x14ac:dyDescent="0.25">
      <c r="B16" s="64"/>
      <c r="C16" s="149" t="s">
        <v>65</v>
      </c>
      <c r="D16" s="149"/>
      <c r="E16" s="146">
        <v>2</v>
      </c>
      <c r="F16" s="146"/>
      <c r="H16" s="58"/>
      <c r="I16" s="80"/>
      <c r="J16" s="114" t="s">
        <v>66</v>
      </c>
      <c r="K16" s="116">
        <f>+COUNTIF($G$24:$G$27,"NT")*2</f>
        <v>4</v>
      </c>
      <c r="L16" s="116">
        <f>+SUMIF($G$25:$G$26,"NT",$L$25:$L$26)</f>
        <v>359.3</v>
      </c>
      <c r="N16" s="68"/>
    </row>
    <row r="17" spans="2:14" x14ac:dyDescent="0.25">
      <c r="B17" s="64"/>
      <c r="C17" s="149" t="s">
        <v>67</v>
      </c>
      <c r="D17" s="149"/>
      <c r="E17" s="155">
        <f>+I27</f>
        <v>640</v>
      </c>
      <c r="F17" s="146"/>
      <c r="H17" s="58"/>
      <c r="I17" s="80"/>
      <c r="J17" s="114" t="s">
        <v>68</v>
      </c>
      <c r="K17" s="116">
        <f>+COUNTIF($G$24:$G$27,"NO")*2</f>
        <v>0</v>
      </c>
      <c r="L17" s="116">
        <f>+SUMIF($G$25:$G$26,"NO",$L$25:$L$26)</f>
        <v>0</v>
      </c>
      <c r="N17" s="68"/>
    </row>
    <row r="18" spans="2:14" x14ac:dyDescent="0.25">
      <c r="B18" s="64"/>
      <c r="C18" s="149" t="s">
        <v>69</v>
      </c>
      <c r="D18" s="149"/>
      <c r="E18" s="155">
        <f>+L27</f>
        <v>359.3</v>
      </c>
      <c r="F18" s="146"/>
      <c r="H18" s="58"/>
      <c r="I18" s="80"/>
      <c r="J18" s="114" t="s">
        <v>70</v>
      </c>
      <c r="K18" s="116">
        <f>+COUNTIF($G$24:$G$27,"TO")*2</f>
        <v>0</v>
      </c>
      <c r="L18" s="116">
        <f>+SUMIF($G$25:$G$26,"TO",$L$25:$L$26)</f>
        <v>0</v>
      </c>
      <c r="N18" s="68"/>
    </row>
    <row r="19" spans="2:14" x14ac:dyDescent="0.25">
      <c r="B19" s="64"/>
      <c r="C19" s="149" t="s">
        <v>71</v>
      </c>
      <c r="D19" s="149"/>
      <c r="E19" s="156">
        <f>+M27</f>
        <v>0.56140625</v>
      </c>
      <c r="F19" s="146"/>
      <c r="G19" s="80"/>
      <c r="H19" s="123"/>
      <c r="I19" s="80"/>
      <c r="J19" s="114" t="s">
        <v>72</v>
      </c>
      <c r="K19" s="116">
        <f>+COUNTIF($G$24:$G$27,"VA")*2</f>
        <v>0</v>
      </c>
      <c r="L19" s="116">
        <f>+SUMIF($G$25:$G$26,"VA",$L$25:$L$26)</f>
        <v>0</v>
      </c>
      <c r="N19" s="68"/>
    </row>
    <row r="20" spans="2:14" x14ac:dyDescent="0.25">
      <c r="B20" s="64"/>
      <c r="C20" s="149" t="s">
        <v>73</v>
      </c>
      <c r="D20" s="149"/>
      <c r="E20" s="153">
        <f>+L27/D27</f>
        <v>179.65</v>
      </c>
      <c r="F20" s="153"/>
      <c r="G20" s="80"/>
      <c r="H20" s="123"/>
      <c r="I20" s="80"/>
      <c r="J20" s="114" t="s">
        <v>74</v>
      </c>
      <c r="K20" s="116">
        <f>+COUNTIF($G$24:$G$27,"MEJ")*2</f>
        <v>0</v>
      </c>
      <c r="L20" s="116">
        <f>+SUMIF($G$25:$G$26,"MEJ",$L$25:$L$26)</f>
        <v>0</v>
      </c>
      <c r="N20" s="68"/>
    </row>
    <row r="21" spans="2:14" ht="9.9499999999999993" customHeight="1" thickBot="1" x14ac:dyDescent="0.3">
      <c r="B21" s="73"/>
      <c r="C21" s="81"/>
      <c r="D21" s="81"/>
      <c r="E21" s="74"/>
      <c r="F21" s="74"/>
      <c r="G21" s="82"/>
      <c r="H21" s="83"/>
      <c r="I21" s="82"/>
      <c r="J21" s="74"/>
      <c r="K21" s="74"/>
      <c r="L21" s="74"/>
      <c r="M21" s="74"/>
      <c r="N21" s="76"/>
    </row>
    <row r="22" spans="2:14" ht="9.9499999999999993" customHeight="1" thickTop="1" x14ac:dyDescent="0.25">
      <c r="B22" s="64"/>
      <c r="N22" s="68"/>
    </row>
    <row r="23" spans="2:14" s="86" customFormat="1" ht="26.25" customHeight="1" x14ac:dyDescent="0.25">
      <c r="B23" s="84"/>
      <c r="C23" s="163" t="s">
        <v>27</v>
      </c>
      <c r="D23" s="163" t="s">
        <v>28</v>
      </c>
      <c r="E23" s="159" t="s">
        <v>52</v>
      </c>
      <c r="F23" s="166" t="s">
        <v>29</v>
      </c>
      <c r="G23" s="167"/>
      <c r="H23" s="168" t="s">
        <v>30</v>
      </c>
      <c r="I23" s="157" t="s">
        <v>31</v>
      </c>
      <c r="J23" s="157" t="s">
        <v>2</v>
      </c>
      <c r="K23" s="159" t="s">
        <v>3</v>
      </c>
      <c r="L23" s="157" t="s">
        <v>32</v>
      </c>
      <c r="M23" s="161" t="s">
        <v>33</v>
      </c>
      <c r="N23" s="85"/>
    </row>
    <row r="24" spans="2:14" x14ac:dyDescent="0.25">
      <c r="B24" s="64"/>
      <c r="C24" s="164"/>
      <c r="D24" s="165"/>
      <c r="E24" s="160"/>
      <c r="F24" s="208" t="s">
        <v>75</v>
      </c>
      <c r="G24" s="87" t="s">
        <v>76</v>
      </c>
      <c r="H24" s="169"/>
      <c r="I24" s="158"/>
      <c r="J24" s="218"/>
      <c r="K24" s="219"/>
      <c r="L24" s="158"/>
      <c r="M24" s="162"/>
      <c r="N24" s="68"/>
    </row>
    <row r="25" spans="2:14" x14ac:dyDescent="0.25">
      <c r="B25" s="64"/>
      <c r="C25" s="88">
        <v>29</v>
      </c>
      <c r="D25" s="88">
        <v>1</v>
      </c>
      <c r="E25" s="203" t="s">
        <v>107</v>
      </c>
      <c r="F25" s="210" t="s">
        <v>145</v>
      </c>
      <c r="G25" s="206" t="s">
        <v>66</v>
      </c>
      <c r="H25" s="89" t="s">
        <v>111</v>
      </c>
      <c r="I25" s="213">
        <v>312</v>
      </c>
      <c r="J25" s="225">
        <v>87.5</v>
      </c>
      <c r="K25" s="221">
        <v>88.3</v>
      </c>
      <c r="L25" s="216">
        <f t="shared" ref="L25:L26" si="0">+J25+K25</f>
        <v>175.8</v>
      </c>
      <c r="M25" s="90">
        <f t="shared" ref="M25:M27" si="1">+L25/I25</f>
        <v>0.56346153846153846</v>
      </c>
      <c r="N25" s="68"/>
    </row>
    <row r="26" spans="2:14" x14ac:dyDescent="0.25">
      <c r="B26" s="64"/>
      <c r="C26" s="91">
        <v>30</v>
      </c>
      <c r="D26" s="91">
        <v>2</v>
      </c>
      <c r="E26" s="204" t="s">
        <v>107</v>
      </c>
      <c r="F26" s="212" t="s">
        <v>145</v>
      </c>
      <c r="G26" s="207" t="s">
        <v>66</v>
      </c>
      <c r="H26" s="93" t="s">
        <v>112</v>
      </c>
      <c r="I26" s="214">
        <v>328</v>
      </c>
      <c r="J26" s="228">
        <v>91.5</v>
      </c>
      <c r="K26" s="224">
        <v>92</v>
      </c>
      <c r="L26" s="217">
        <f t="shared" si="0"/>
        <v>183.5</v>
      </c>
      <c r="M26" s="94">
        <f t="shared" si="1"/>
        <v>0.55945121951219512</v>
      </c>
      <c r="N26" s="68"/>
    </row>
    <row r="27" spans="2:14" x14ac:dyDescent="0.25">
      <c r="B27" s="64"/>
      <c r="C27" s="118"/>
      <c r="D27" s="118">
        <f>+COUNT($D$24:$D$26)</f>
        <v>2</v>
      </c>
      <c r="E27" s="118"/>
      <c r="F27" s="209"/>
      <c r="G27" s="170"/>
      <c r="H27" s="98"/>
      <c r="I27" s="99">
        <f>SUM($I$24:$I$26)</f>
        <v>640</v>
      </c>
      <c r="J27" s="97">
        <f>SUM($J$24:$J$26)</f>
        <v>179</v>
      </c>
      <c r="K27" s="220">
        <f>SUM($K$24:$K$26)</f>
        <v>180.3</v>
      </c>
      <c r="L27" s="99">
        <f>SUM($L$24:$L$26)</f>
        <v>359.3</v>
      </c>
      <c r="M27" s="100">
        <f t="shared" si="1"/>
        <v>0.56140625</v>
      </c>
      <c r="N27" s="68"/>
    </row>
    <row r="28" spans="2:14" ht="16.5" thickBot="1" x14ac:dyDescent="0.3">
      <c r="B28" s="73"/>
      <c r="C28" s="74"/>
      <c r="D28" s="74"/>
      <c r="E28" s="74"/>
      <c r="F28" s="74"/>
      <c r="G28" s="74"/>
      <c r="H28" s="75"/>
      <c r="I28" s="74"/>
      <c r="J28" s="75"/>
      <c r="K28" s="74"/>
      <c r="L28" s="74"/>
      <c r="M28" s="74"/>
      <c r="N28" s="76"/>
    </row>
    <row r="29" spans="2:14" ht="17.25" thickTop="1" thickBot="1" x14ac:dyDescent="0.3">
      <c r="B29" s="61"/>
      <c r="C29" s="61"/>
      <c r="D29" s="61"/>
      <c r="E29" s="61"/>
      <c r="F29" s="61"/>
      <c r="G29" s="61"/>
      <c r="H29" s="62"/>
      <c r="I29" s="61"/>
      <c r="J29" s="62"/>
      <c r="K29" s="61"/>
      <c r="L29" s="61"/>
      <c r="M29" s="61"/>
      <c r="N29" s="61"/>
    </row>
    <row r="30" spans="2:14" ht="16.5" thickTop="1" x14ac:dyDescent="0.25">
      <c r="B30" s="60"/>
      <c r="C30" s="61"/>
      <c r="D30" s="61"/>
      <c r="E30" s="61"/>
      <c r="F30" s="61"/>
      <c r="G30" s="61"/>
      <c r="H30" s="62"/>
      <c r="I30" s="61"/>
      <c r="J30" s="62"/>
      <c r="K30" s="61"/>
      <c r="L30" s="61"/>
      <c r="M30" s="61"/>
      <c r="N30" s="63"/>
    </row>
    <row r="31" spans="2:14" ht="32.25" customHeight="1" x14ac:dyDescent="0.25">
      <c r="B31" s="64"/>
      <c r="D31" s="171" t="s">
        <v>86</v>
      </c>
      <c r="E31" s="172"/>
      <c r="F31" s="172"/>
      <c r="G31" s="172"/>
      <c r="H31" s="124" t="s">
        <v>87</v>
      </c>
      <c r="I31" s="125" t="s">
        <v>62</v>
      </c>
      <c r="J31" s="126" t="s">
        <v>88</v>
      </c>
      <c r="K31" s="127" t="s">
        <v>89</v>
      </c>
      <c r="N31" s="68"/>
    </row>
    <row r="32" spans="2:14" x14ac:dyDescent="0.25">
      <c r="B32" s="64"/>
      <c r="D32" s="173" t="s">
        <v>20</v>
      </c>
      <c r="E32" s="174"/>
      <c r="F32" s="174"/>
      <c r="G32" s="174"/>
      <c r="H32" s="128"/>
      <c r="J32" s="128"/>
      <c r="K32" s="129"/>
      <c r="N32" s="68"/>
    </row>
    <row r="33" spans="2:14" x14ac:dyDescent="0.25">
      <c r="B33" s="64"/>
      <c r="D33" s="173" t="s">
        <v>7</v>
      </c>
      <c r="E33" s="174"/>
      <c r="F33" s="174"/>
      <c r="G33" s="174"/>
      <c r="H33" s="128"/>
      <c r="J33" s="128"/>
      <c r="K33" s="129"/>
      <c r="N33" s="68"/>
    </row>
    <row r="34" spans="2:14" x14ac:dyDescent="0.25">
      <c r="B34" s="64"/>
      <c r="D34" s="173" t="s">
        <v>6</v>
      </c>
      <c r="E34" s="174"/>
      <c r="F34" s="174"/>
      <c r="G34" s="174"/>
      <c r="H34" s="128"/>
      <c r="J34" s="128"/>
      <c r="K34" s="129"/>
      <c r="N34" s="68"/>
    </row>
    <row r="35" spans="2:14" x14ac:dyDescent="0.25">
      <c r="B35" s="64"/>
      <c r="D35" s="173" t="s">
        <v>10</v>
      </c>
      <c r="E35" s="174"/>
      <c r="F35" s="174"/>
      <c r="G35" s="174"/>
      <c r="H35" s="128"/>
      <c r="J35" s="128"/>
      <c r="K35" s="129"/>
      <c r="N35" s="68"/>
    </row>
    <row r="36" spans="2:14" x14ac:dyDescent="0.25">
      <c r="B36" s="64"/>
      <c r="D36" s="173" t="s">
        <v>21</v>
      </c>
      <c r="E36" s="174"/>
      <c r="F36" s="174"/>
      <c r="G36" s="174"/>
      <c r="H36" s="128"/>
      <c r="J36" s="128"/>
      <c r="K36" s="129"/>
      <c r="N36" s="68"/>
    </row>
    <row r="37" spans="2:14" x14ac:dyDescent="0.25">
      <c r="B37" s="64"/>
      <c r="D37" s="173" t="s">
        <v>5</v>
      </c>
      <c r="E37" s="174"/>
      <c r="F37" s="174"/>
      <c r="G37" s="174"/>
      <c r="H37" s="128"/>
      <c r="J37" s="128"/>
      <c r="K37" s="129"/>
      <c r="N37" s="68"/>
    </row>
    <row r="38" spans="2:14" x14ac:dyDescent="0.25">
      <c r="B38" s="64"/>
      <c r="D38" s="173" t="s">
        <v>22</v>
      </c>
      <c r="E38" s="174"/>
      <c r="F38" s="174"/>
      <c r="G38" s="174"/>
      <c r="H38" s="128"/>
      <c r="J38" s="128"/>
      <c r="K38" s="129"/>
      <c r="N38" s="68"/>
    </row>
    <row r="39" spans="2:14" x14ac:dyDescent="0.25">
      <c r="B39" s="64"/>
      <c r="D39" s="173" t="s">
        <v>8</v>
      </c>
      <c r="E39" s="174"/>
      <c r="F39" s="174"/>
      <c r="G39" s="174"/>
      <c r="H39" s="128"/>
      <c r="J39" s="128"/>
      <c r="K39" s="129"/>
      <c r="N39" s="68"/>
    </row>
    <row r="40" spans="2:14" x14ac:dyDescent="0.25">
      <c r="B40" s="64"/>
      <c r="D40" s="173" t="s">
        <v>23</v>
      </c>
      <c r="E40" s="174"/>
      <c r="F40" s="174"/>
      <c r="G40" s="174"/>
      <c r="H40" s="128"/>
      <c r="J40" s="128"/>
      <c r="K40" s="129"/>
      <c r="N40" s="68"/>
    </row>
    <row r="41" spans="2:14" x14ac:dyDescent="0.25">
      <c r="B41" s="64"/>
      <c r="D41" s="173" t="s">
        <v>36</v>
      </c>
      <c r="E41" s="174"/>
      <c r="F41" s="174"/>
      <c r="G41" s="174"/>
      <c r="H41" s="128"/>
      <c r="J41" s="128"/>
      <c r="K41" s="129"/>
      <c r="N41" s="68"/>
    </row>
    <row r="42" spans="2:14" x14ac:dyDescent="0.25">
      <c r="B42" s="64"/>
      <c r="D42" s="173" t="s">
        <v>9</v>
      </c>
      <c r="E42" s="174"/>
      <c r="F42" s="174"/>
      <c r="G42" s="174"/>
      <c r="H42" s="128"/>
      <c r="J42" s="128"/>
      <c r="K42" s="129"/>
      <c r="N42" s="68"/>
    </row>
    <row r="43" spans="2:14" x14ac:dyDescent="0.25">
      <c r="B43" s="64"/>
      <c r="D43" s="173" t="s">
        <v>24</v>
      </c>
      <c r="E43" s="174"/>
      <c r="F43" s="174"/>
      <c r="G43" s="174"/>
      <c r="H43" s="128"/>
      <c r="J43" s="128"/>
      <c r="K43" s="129"/>
      <c r="N43" s="68"/>
    </row>
    <row r="44" spans="2:14" x14ac:dyDescent="0.25">
      <c r="B44" s="64"/>
      <c r="D44" s="173" t="s">
        <v>37</v>
      </c>
      <c r="E44" s="174"/>
      <c r="F44" s="174"/>
      <c r="G44" s="174"/>
      <c r="H44" s="128"/>
      <c r="J44" s="128"/>
      <c r="K44" s="129"/>
      <c r="N44" s="68"/>
    </row>
    <row r="45" spans="2:14" x14ac:dyDescent="0.25">
      <c r="B45" s="64"/>
      <c r="D45" s="178" t="s">
        <v>90</v>
      </c>
      <c r="E45" s="179"/>
      <c r="F45" s="179"/>
      <c r="G45" s="180"/>
      <c r="H45" s="130"/>
      <c r="I45" s="131">
        <f>SUM(I32:I44)</f>
        <v>0</v>
      </c>
      <c r="J45" s="132">
        <f>SUM(J32:J44)</f>
        <v>0</v>
      </c>
      <c r="K45" s="133">
        <f>SUM(K32:K44)</f>
        <v>0</v>
      </c>
      <c r="N45" s="68"/>
    </row>
    <row r="46" spans="2:14" ht="16.5" thickBot="1" x14ac:dyDescent="0.3">
      <c r="B46" s="73"/>
      <c r="C46" s="74"/>
      <c r="D46" s="74"/>
      <c r="E46" s="74"/>
      <c r="F46" s="74"/>
      <c r="G46" s="74"/>
      <c r="H46" s="75"/>
      <c r="I46" s="74"/>
      <c r="J46" s="75"/>
      <c r="K46" s="74"/>
      <c r="L46" s="74"/>
      <c r="M46" s="74"/>
      <c r="N46" s="76"/>
    </row>
    <row r="47" spans="2:14" ht="16.5" thickTop="1" x14ac:dyDescent="0.25">
      <c r="B47" s="64"/>
      <c r="G47" s="134"/>
      <c r="H47" s="135"/>
      <c r="I47" s="134"/>
      <c r="J47" s="135"/>
      <c r="N47" s="68"/>
    </row>
    <row r="48" spans="2:14" ht="15.75" customHeight="1" x14ac:dyDescent="0.25">
      <c r="B48" s="64"/>
      <c r="F48" s="181" t="s">
        <v>91</v>
      </c>
      <c r="G48" s="181"/>
      <c r="H48" s="136" t="s">
        <v>92</v>
      </c>
      <c r="I48" s="124" t="s">
        <v>80</v>
      </c>
      <c r="N48" s="68"/>
    </row>
    <row r="49" spans="2:14" x14ac:dyDescent="0.25">
      <c r="B49" s="64"/>
      <c r="F49" s="182" t="s">
        <v>35</v>
      </c>
      <c r="G49" s="182"/>
      <c r="H49" s="137"/>
      <c r="I49" s="138"/>
      <c r="N49" s="68"/>
    </row>
    <row r="50" spans="2:14" x14ac:dyDescent="0.25">
      <c r="B50" s="64"/>
      <c r="F50" s="175" t="s">
        <v>93</v>
      </c>
      <c r="G50" s="175"/>
      <c r="H50" s="139">
        <f>+D27</f>
        <v>2</v>
      </c>
      <c r="I50" s="140"/>
      <c r="N50" s="68"/>
    </row>
    <row r="51" spans="2:14" x14ac:dyDescent="0.25">
      <c r="B51" s="64"/>
      <c r="F51" s="175" t="s">
        <v>94</v>
      </c>
      <c r="G51" s="175"/>
      <c r="H51" s="141"/>
      <c r="I51" s="140"/>
      <c r="N51" s="68"/>
    </row>
    <row r="52" spans="2:14" x14ac:dyDescent="0.25">
      <c r="B52" s="64"/>
      <c r="F52" s="175" t="s">
        <v>95</v>
      </c>
      <c r="G52" s="175"/>
      <c r="H52" s="141"/>
      <c r="I52" s="140"/>
      <c r="N52" s="68"/>
    </row>
    <row r="53" spans="2:14" x14ac:dyDescent="0.25">
      <c r="B53" s="64"/>
      <c r="F53" s="176" t="s">
        <v>96</v>
      </c>
      <c r="G53" s="176"/>
      <c r="H53" s="142"/>
      <c r="I53" s="143"/>
      <c r="N53" s="68"/>
    </row>
    <row r="54" spans="2:14" x14ac:dyDescent="0.25">
      <c r="B54" s="64"/>
      <c r="F54" s="177" t="s">
        <v>90</v>
      </c>
      <c r="G54" s="177"/>
      <c r="H54" s="144"/>
      <c r="I54" s="130">
        <f>SUM(I49:I53)</f>
        <v>0</v>
      </c>
      <c r="N54" s="68"/>
    </row>
    <row r="55" spans="2:14" ht="16.5" thickBot="1" x14ac:dyDescent="0.3">
      <c r="B55" s="73"/>
      <c r="C55" s="74"/>
      <c r="D55" s="74"/>
      <c r="E55" s="74"/>
      <c r="F55" s="74"/>
      <c r="G55" s="74"/>
      <c r="H55" s="75"/>
      <c r="I55" s="74"/>
      <c r="J55" s="75"/>
      <c r="K55" s="74"/>
      <c r="L55" s="74"/>
      <c r="M55" s="74"/>
      <c r="N55" s="76"/>
    </row>
    <row r="56" spans="2:14" ht="16.5" thickTop="1" x14ac:dyDescent="0.25">
      <c r="I56" s="101"/>
    </row>
  </sheetData>
  <mergeCells count="53"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L23:L24"/>
    <mergeCell ref="M23:M24"/>
    <mergeCell ref="C20:D20"/>
    <mergeCell ref="E20:F20"/>
    <mergeCell ref="C23:C24"/>
    <mergeCell ref="D23:D24"/>
    <mergeCell ref="E23:E24"/>
    <mergeCell ref="F23:G23"/>
    <mergeCell ref="D35:G35"/>
    <mergeCell ref="H23:H24"/>
    <mergeCell ref="I23:I24"/>
    <mergeCell ref="J23:J24"/>
    <mergeCell ref="K23:K24"/>
    <mergeCell ref="F27:G27"/>
    <mergeCell ref="D31:G31"/>
    <mergeCell ref="D32:G32"/>
    <mergeCell ref="D33:G33"/>
    <mergeCell ref="D34:G34"/>
    <mergeCell ref="F49:G49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F48:G48"/>
    <mergeCell ref="F50:G50"/>
    <mergeCell ref="F51:G51"/>
    <mergeCell ref="F52:G52"/>
    <mergeCell ref="F53:G53"/>
    <mergeCell ref="F54:G54"/>
  </mergeCells>
  <conditionalFormatting sqref="M25:M26">
    <cfRule type="cellIs" dxfId="2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74"/>
  <sheetViews>
    <sheetView view="pageBreakPreview" topLeftCell="A23" zoomScale="60" zoomScaleNormal="100" workbookViewId="0">
      <selection activeCell="P38" sqref="P38"/>
    </sheetView>
  </sheetViews>
  <sheetFormatPr baseColWidth="10" defaultColWidth="12.42578125" defaultRowHeight="15.75" x14ac:dyDescent="0.25"/>
  <cols>
    <col min="1" max="1" width="4" style="58" customWidth="1"/>
    <col min="2" max="2" width="3.7109375" style="58" customWidth="1"/>
    <col min="3" max="3" width="9.5703125" style="58" customWidth="1"/>
    <col min="4" max="4" width="9.7109375" style="58" customWidth="1"/>
    <col min="5" max="5" width="6.42578125" style="58" customWidth="1"/>
    <col min="6" max="7" width="12.7109375" style="58" customWidth="1"/>
    <col min="8" max="8" width="17.42578125" style="59" customWidth="1"/>
    <col min="9" max="9" width="12.7109375" style="58" customWidth="1"/>
    <col min="10" max="10" width="14.42578125" style="59" bestFit="1" customWidth="1"/>
    <col min="11" max="12" width="12.7109375" style="58" customWidth="1"/>
    <col min="13" max="13" width="12.42578125" style="58"/>
    <col min="14" max="14" width="3.7109375" style="58" customWidth="1"/>
    <col min="15" max="16384" width="12.42578125" style="58"/>
  </cols>
  <sheetData>
    <row r="1" spans="2:14" ht="16.5" thickBot="1" x14ac:dyDescent="0.3"/>
    <row r="2" spans="2:14" ht="17.25" thickTop="1" thickBot="1" x14ac:dyDescent="0.3">
      <c r="B2" s="60"/>
      <c r="C2" s="61"/>
      <c r="D2" s="61"/>
      <c r="E2" s="61"/>
      <c r="F2" s="61"/>
      <c r="G2" s="61"/>
      <c r="H2" s="62"/>
      <c r="I2" s="61"/>
      <c r="J2" s="62"/>
      <c r="K2" s="61"/>
      <c r="L2" s="61"/>
      <c r="M2" s="61"/>
      <c r="N2" s="63"/>
    </row>
    <row r="3" spans="2:14" ht="17.25" thickTop="1" thickBot="1" x14ac:dyDescent="0.3">
      <c r="B3" s="64"/>
      <c r="G3" s="58" t="s">
        <v>53</v>
      </c>
      <c r="H3" s="58"/>
      <c r="J3" s="58"/>
      <c r="K3" s="66" t="s">
        <v>25</v>
      </c>
      <c r="L3" s="67">
        <f>+M45</f>
        <v>0.58124424569248978</v>
      </c>
      <c r="N3" s="68"/>
    </row>
    <row r="4" spans="2:14" ht="17.25" thickTop="1" thickBot="1" x14ac:dyDescent="0.3">
      <c r="B4" s="64"/>
      <c r="G4" s="59" t="s">
        <v>54</v>
      </c>
      <c r="K4" s="66" t="s">
        <v>26</v>
      </c>
      <c r="L4" s="70">
        <f>+L45/D45</f>
        <v>220.95999999999998</v>
      </c>
      <c r="N4" s="68"/>
    </row>
    <row r="5" spans="2:14" ht="16.5" thickTop="1" x14ac:dyDescent="0.25">
      <c r="B5" s="64"/>
      <c r="G5" s="59" t="s">
        <v>55</v>
      </c>
      <c r="K5" s="71"/>
      <c r="L5" s="72"/>
      <c r="N5" s="68"/>
    </row>
    <row r="6" spans="2:14" ht="16.5" thickBot="1" x14ac:dyDescent="0.3">
      <c r="B6" s="73"/>
      <c r="C6" s="74"/>
      <c r="D6" s="74"/>
      <c r="E6" s="74"/>
      <c r="F6" s="74"/>
      <c r="G6" s="74"/>
      <c r="H6" s="75"/>
      <c r="I6" s="74"/>
      <c r="J6" s="75"/>
      <c r="K6" s="74"/>
      <c r="L6" s="74"/>
      <c r="M6" s="74"/>
      <c r="N6" s="76"/>
    </row>
    <row r="7" spans="2:14" ht="8.1" customHeight="1" thickTop="1" x14ac:dyDescent="0.25">
      <c r="B7" s="60"/>
      <c r="C7" s="61"/>
      <c r="D7" s="61"/>
      <c r="E7" s="61"/>
      <c r="F7" s="61"/>
      <c r="G7" s="61"/>
      <c r="H7" s="62"/>
      <c r="I7" s="60"/>
      <c r="J7" s="62"/>
      <c r="K7" s="61"/>
      <c r="L7" s="61"/>
      <c r="M7" s="61"/>
      <c r="N7" s="63"/>
    </row>
    <row r="8" spans="2:14" x14ac:dyDescent="0.25">
      <c r="B8" s="64"/>
      <c r="C8" s="149" t="s">
        <v>56</v>
      </c>
      <c r="D8" s="149"/>
      <c r="E8" s="150" t="s">
        <v>103</v>
      </c>
      <c r="F8" s="150"/>
      <c r="G8" s="150"/>
      <c r="H8" s="151"/>
      <c r="I8" s="77" t="s">
        <v>57</v>
      </c>
      <c r="J8" s="153" t="s">
        <v>115</v>
      </c>
      <c r="K8" s="153"/>
      <c r="L8" s="153"/>
      <c r="M8" s="153"/>
      <c r="N8" s="68"/>
    </row>
    <row r="9" spans="2:14" x14ac:dyDescent="0.25">
      <c r="B9" s="64"/>
      <c r="C9" s="152" t="s">
        <v>58</v>
      </c>
      <c r="D9" s="152"/>
      <c r="E9" s="150">
        <v>28012</v>
      </c>
      <c r="F9" s="150"/>
      <c r="G9" s="150"/>
      <c r="H9" s="151"/>
      <c r="I9" s="77" t="s">
        <v>59</v>
      </c>
      <c r="J9" s="117" t="s">
        <v>116</v>
      </c>
      <c r="K9" s="115" t="s">
        <v>60</v>
      </c>
      <c r="L9" s="146" t="s">
        <v>117</v>
      </c>
      <c r="M9" s="146"/>
      <c r="N9" s="68"/>
    </row>
    <row r="10" spans="2:14" x14ac:dyDescent="0.25">
      <c r="B10" s="64"/>
      <c r="C10" s="120"/>
      <c r="D10" s="120"/>
      <c r="E10" s="121"/>
      <c r="F10" s="121"/>
      <c r="G10" s="121"/>
      <c r="H10" s="107"/>
      <c r="I10" s="77" t="s">
        <v>84</v>
      </c>
      <c r="J10" s="145">
        <v>46147</v>
      </c>
      <c r="K10" s="115" t="s">
        <v>85</v>
      </c>
      <c r="L10" s="148">
        <v>0.65625</v>
      </c>
      <c r="M10" s="146"/>
      <c r="N10" s="68"/>
    </row>
    <row r="11" spans="2:14" ht="8.1" customHeight="1" thickBot="1" x14ac:dyDescent="0.3">
      <c r="B11" s="73"/>
      <c r="C11" s="78"/>
      <c r="D11" s="78"/>
      <c r="E11" s="74"/>
      <c r="F11" s="74"/>
      <c r="G11" s="74"/>
      <c r="H11" s="75"/>
      <c r="I11" s="73"/>
      <c r="J11" s="75"/>
      <c r="K11" s="74"/>
      <c r="L11" s="74"/>
      <c r="M11" s="74"/>
      <c r="N11" s="76"/>
    </row>
    <row r="12" spans="2:14" ht="8.1" customHeight="1" thickTop="1" x14ac:dyDescent="0.25">
      <c r="B12" s="64"/>
      <c r="C12" s="79"/>
      <c r="D12" s="79"/>
      <c r="E12" s="65"/>
      <c r="F12" s="65"/>
      <c r="G12" s="65"/>
      <c r="H12" s="69"/>
      <c r="I12" s="65"/>
      <c r="J12" s="69"/>
      <c r="K12" s="65"/>
      <c r="L12" s="65"/>
      <c r="M12" s="65"/>
      <c r="N12" s="68"/>
    </row>
    <row r="13" spans="2:14" ht="8.1" customHeight="1" x14ac:dyDescent="0.25">
      <c r="B13" s="64"/>
      <c r="C13" s="122"/>
      <c r="D13" s="122"/>
      <c r="N13" s="68"/>
    </row>
    <row r="14" spans="2:14" x14ac:dyDescent="0.25">
      <c r="B14" s="64"/>
      <c r="D14" s="115" t="s">
        <v>77</v>
      </c>
      <c r="E14" s="147">
        <v>46148</v>
      </c>
      <c r="F14" s="147"/>
      <c r="H14" s="58"/>
      <c r="I14" s="80"/>
      <c r="J14" s="58"/>
      <c r="K14" s="114" t="s">
        <v>61</v>
      </c>
      <c r="L14" s="114" t="s">
        <v>62</v>
      </c>
      <c r="N14" s="68"/>
    </row>
    <row r="15" spans="2:14" x14ac:dyDescent="0.25">
      <c r="B15" s="64"/>
      <c r="C15" s="149" t="s">
        <v>63</v>
      </c>
      <c r="D15" s="149"/>
      <c r="E15" s="154">
        <v>178</v>
      </c>
      <c r="F15" s="154"/>
      <c r="H15" s="58"/>
      <c r="I15" s="80"/>
      <c r="J15" s="114" t="s">
        <v>64</v>
      </c>
      <c r="K15" s="116">
        <f>+COUNTIF($G$24:$G$45,"VQ")*2</f>
        <v>0</v>
      </c>
      <c r="L15" s="116">
        <f>+SUMIF($G$25:$G$44,"VQ",$L$25:$L$44)</f>
        <v>0</v>
      </c>
      <c r="N15" s="68"/>
    </row>
    <row r="16" spans="2:14" x14ac:dyDescent="0.25">
      <c r="B16" s="64"/>
      <c r="C16" s="149" t="s">
        <v>65</v>
      </c>
      <c r="D16" s="149"/>
      <c r="E16" s="146">
        <v>20</v>
      </c>
      <c r="F16" s="146"/>
      <c r="H16" s="58"/>
      <c r="I16" s="80"/>
      <c r="J16" s="114" t="s">
        <v>66</v>
      </c>
      <c r="K16" s="116">
        <f>+COUNTIF($G$24:$G$45,"NT")*2</f>
        <v>0</v>
      </c>
      <c r="L16" s="116">
        <f>+SUMIF($G$25:$G$44,"NT",$L$25:$L$44)</f>
        <v>0</v>
      </c>
      <c r="N16" s="68"/>
    </row>
    <row r="17" spans="2:14" x14ac:dyDescent="0.25">
      <c r="B17" s="64"/>
      <c r="C17" s="149" t="s">
        <v>67</v>
      </c>
      <c r="D17" s="149"/>
      <c r="E17" s="155">
        <f>+I45</f>
        <v>7603</v>
      </c>
      <c r="F17" s="146"/>
      <c r="H17" s="58"/>
      <c r="I17" s="80"/>
      <c r="J17" s="114" t="s">
        <v>68</v>
      </c>
      <c r="K17" s="116">
        <f>+COUNTIF($G$24:$G$45,"NO")*2</f>
        <v>0</v>
      </c>
      <c r="L17" s="116">
        <f>+SUMIF($G$25:$G$44,"NO",$L$25:$L$44)</f>
        <v>0</v>
      </c>
      <c r="N17" s="68"/>
    </row>
    <row r="18" spans="2:14" x14ac:dyDescent="0.25">
      <c r="B18" s="64"/>
      <c r="C18" s="149" t="s">
        <v>69</v>
      </c>
      <c r="D18" s="149"/>
      <c r="E18" s="155">
        <f>+L45</f>
        <v>4419.2</v>
      </c>
      <c r="F18" s="146"/>
      <c r="H18" s="58"/>
      <c r="I18" s="80"/>
      <c r="J18" s="114" t="s">
        <v>70</v>
      </c>
      <c r="K18" s="116">
        <f>+COUNTIF($G$24:$G$45,"TO")*2</f>
        <v>0</v>
      </c>
      <c r="L18" s="116">
        <f>+SUMIF($G$25:$G$44,"TO",$L$25:$L$44)</f>
        <v>0</v>
      </c>
      <c r="N18" s="68"/>
    </row>
    <row r="19" spans="2:14" x14ac:dyDescent="0.25">
      <c r="B19" s="64"/>
      <c r="C19" s="149" t="s">
        <v>71</v>
      </c>
      <c r="D19" s="149"/>
      <c r="E19" s="156">
        <f>+M45</f>
        <v>0.58124424569248978</v>
      </c>
      <c r="F19" s="146"/>
      <c r="G19" s="80"/>
      <c r="H19" s="123"/>
      <c r="I19" s="80"/>
      <c r="J19" s="114" t="s">
        <v>72</v>
      </c>
      <c r="K19" s="116">
        <f>+COUNTIF($G$24:$G$45,"VA")*2</f>
        <v>0</v>
      </c>
      <c r="L19" s="116">
        <f>+SUMIF($G$25:$G$44,"VA",$L$25:$L$44)</f>
        <v>0</v>
      </c>
      <c r="N19" s="68"/>
    </row>
    <row r="20" spans="2:14" x14ac:dyDescent="0.25">
      <c r="B20" s="64"/>
      <c r="C20" s="149" t="s">
        <v>73</v>
      </c>
      <c r="D20" s="149"/>
      <c r="E20" s="153">
        <f>+L45/D45</f>
        <v>220.95999999999998</v>
      </c>
      <c r="F20" s="153"/>
      <c r="G20" s="80"/>
      <c r="H20" s="123"/>
      <c r="I20" s="80"/>
      <c r="J20" s="114" t="s">
        <v>74</v>
      </c>
      <c r="K20" s="116">
        <f>+COUNTIF($G$24:$G$45,"MEJ")*2</f>
        <v>40</v>
      </c>
      <c r="L20" s="116">
        <f>+SUMIF($G$25:$G$44,"MEJ",$L$25:$L$44)</f>
        <v>4419.2</v>
      </c>
      <c r="N20" s="68"/>
    </row>
    <row r="21" spans="2:14" ht="9.9499999999999993" customHeight="1" thickBot="1" x14ac:dyDescent="0.3">
      <c r="B21" s="73"/>
      <c r="C21" s="81"/>
      <c r="D21" s="81"/>
      <c r="E21" s="74"/>
      <c r="F21" s="74"/>
      <c r="G21" s="82"/>
      <c r="H21" s="83"/>
      <c r="I21" s="82"/>
      <c r="J21" s="74"/>
      <c r="K21" s="74"/>
      <c r="L21" s="74"/>
      <c r="M21" s="74"/>
      <c r="N21" s="76"/>
    </row>
    <row r="22" spans="2:14" ht="9.9499999999999993" customHeight="1" thickTop="1" x14ac:dyDescent="0.25">
      <c r="B22" s="64"/>
      <c r="N22" s="68"/>
    </row>
    <row r="23" spans="2:14" s="86" customFormat="1" ht="26.25" customHeight="1" x14ac:dyDescent="0.25">
      <c r="B23" s="84"/>
      <c r="C23" s="163" t="s">
        <v>27</v>
      </c>
      <c r="D23" s="163" t="s">
        <v>28</v>
      </c>
      <c r="E23" s="159" t="s">
        <v>52</v>
      </c>
      <c r="F23" s="166" t="s">
        <v>29</v>
      </c>
      <c r="G23" s="167"/>
      <c r="H23" s="168" t="s">
        <v>30</v>
      </c>
      <c r="I23" s="157" t="s">
        <v>31</v>
      </c>
      <c r="J23" s="157" t="s">
        <v>2</v>
      </c>
      <c r="K23" s="159" t="s">
        <v>3</v>
      </c>
      <c r="L23" s="157" t="s">
        <v>32</v>
      </c>
      <c r="M23" s="161" t="s">
        <v>33</v>
      </c>
      <c r="N23" s="85"/>
    </row>
    <row r="24" spans="2:14" x14ac:dyDescent="0.25">
      <c r="B24" s="64"/>
      <c r="C24" s="164"/>
      <c r="D24" s="165"/>
      <c r="E24" s="160"/>
      <c r="F24" s="208" t="s">
        <v>75</v>
      </c>
      <c r="G24" s="87" t="s">
        <v>76</v>
      </c>
      <c r="H24" s="169"/>
      <c r="I24" s="158"/>
      <c r="J24" s="218"/>
      <c r="K24" s="219"/>
      <c r="L24" s="158"/>
      <c r="M24" s="162"/>
      <c r="N24" s="68"/>
    </row>
    <row r="25" spans="2:14" x14ac:dyDescent="0.25">
      <c r="B25" s="64"/>
      <c r="C25" s="88">
        <v>1</v>
      </c>
      <c r="D25" s="88">
        <v>9</v>
      </c>
      <c r="E25" s="203" t="s">
        <v>118</v>
      </c>
      <c r="F25" s="210" t="s">
        <v>143</v>
      </c>
      <c r="G25" s="206" t="s">
        <v>74</v>
      </c>
      <c r="H25" s="89" t="s">
        <v>127</v>
      </c>
      <c r="I25" s="213">
        <v>363</v>
      </c>
      <c r="J25" s="225">
        <v>109.4</v>
      </c>
      <c r="K25" s="221">
        <v>109.4</v>
      </c>
      <c r="L25" s="216">
        <f t="shared" ref="L25:L44" si="0">+J25+K25</f>
        <v>218.8</v>
      </c>
      <c r="M25" s="90">
        <f t="shared" ref="M25:M45" si="1">+L25/I25</f>
        <v>0.60275482093663912</v>
      </c>
      <c r="N25" s="68"/>
    </row>
    <row r="26" spans="2:14" x14ac:dyDescent="0.25">
      <c r="B26" s="64"/>
      <c r="C26" s="91">
        <v>2</v>
      </c>
      <c r="D26" s="91">
        <v>6</v>
      </c>
      <c r="E26" s="204" t="s">
        <v>119</v>
      </c>
      <c r="F26" s="211" t="s">
        <v>143</v>
      </c>
      <c r="G26" s="207" t="s">
        <v>74</v>
      </c>
      <c r="H26" s="93" t="s">
        <v>126</v>
      </c>
      <c r="I26" s="214">
        <v>420</v>
      </c>
      <c r="J26" s="226">
        <v>123.2</v>
      </c>
      <c r="K26" s="222">
        <v>123.8</v>
      </c>
      <c r="L26" s="217">
        <f t="shared" si="0"/>
        <v>247</v>
      </c>
      <c r="M26" s="94">
        <f t="shared" si="1"/>
        <v>0.58809523809523812</v>
      </c>
      <c r="N26" s="68"/>
    </row>
    <row r="27" spans="2:14" x14ac:dyDescent="0.25">
      <c r="B27" s="64"/>
      <c r="C27" s="91">
        <v>3</v>
      </c>
      <c r="D27" s="91">
        <v>5</v>
      </c>
      <c r="E27" s="204" t="s">
        <v>118</v>
      </c>
      <c r="F27" s="211" t="s">
        <v>143</v>
      </c>
      <c r="G27" s="207" t="s">
        <v>74</v>
      </c>
      <c r="H27" s="93" t="s">
        <v>124</v>
      </c>
      <c r="I27" s="214">
        <v>350</v>
      </c>
      <c r="J27" s="226">
        <v>102.1</v>
      </c>
      <c r="K27" s="222">
        <v>101.5</v>
      </c>
      <c r="L27" s="217">
        <f t="shared" si="0"/>
        <v>203.6</v>
      </c>
      <c r="M27" s="94">
        <f t="shared" si="1"/>
        <v>0.58171428571428574</v>
      </c>
      <c r="N27" s="68"/>
    </row>
    <row r="28" spans="2:14" x14ac:dyDescent="0.25">
      <c r="B28" s="64"/>
      <c r="C28" s="91">
        <v>4</v>
      </c>
      <c r="D28" s="91">
        <v>12</v>
      </c>
      <c r="E28" s="204" t="s">
        <v>119</v>
      </c>
      <c r="F28" s="211" t="s">
        <v>143</v>
      </c>
      <c r="G28" s="207" t="s">
        <v>74</v>
      </c>
      <c r="H28" s="93" t="s">
        <v>128</v>
      </c>
      <c r="I28" s="214">
        <v>423</v>
      </c>
      <c r="J28" s="226">
        <v>121.9</v>
      </c>
      <c r="K28" s="222">
        <v>121</v>
      </c>
      <c r="L28" s="217">
        <f t="shared" si="0"/>
        <v>242.9</v>
      </c>
      <c r="M28" s="94">
        <f t="shared" si="1"/>
        <v>0.57423167848699763</v>
      </c>
      <c r="N28" s="68"/>
    </row>
    <row r="29" spans="2:14" x14ac:dyDescent="0.25">
      <c r="B29" s="64"/>
      <c r="C29" s="91">
        <v>5</v>
      </c>
      <c r="D29" s="91">
        <v>16</v>
      </c>
      <c r="E29" s="204" t="s">
        <v>118</v>
      </c>
      <c r="F29" s="211" t="s">
        <v>143</v>
      </c>
      <c r="G29" s="207" t="s">
        <v>74</v>
      </c>
      <c r="H29" s="93" t="s">
        <v>132</v>
      </c>
      <c r="I29" s="214">
        <v>439</v>
      </c>
      <c r="J29" s="226">
        <v>136</v>
      </c>
      <c r="K29" s="222">
        <v>134.5</v>
      </c>
      <c r="L29" s="217">
        <f t="shared" si="0"/>
        <v>270.5</v>
      </c>
      <c r="M29" s="94">
        <f t="shared" si="1"/>
        <v>0.61617312072892938</v>
      </c>
      <c r="N29" s="68"/>
    </row>
    <row r="30" spans="2:14" x14ac:dyDescent="0.25">
      <c r="B30" s="64"/>
      <c r="C30" s="91">
        <v>6</v>
      </c>
      <c r="D30" s="91">
        <v>4</v>
      </c>
      <c r="E30" s="204" t="s">
        <v>119</v>
      </c>
      <c r="F30" s="211" t="s">
        <v>143</v>
      </c>
      <c r="G30" s="207" t="s">
        <v>74</v>
      </c>
      <c r="H30" s="93" t="s">
        <v>123</v>
      </c>
      <c r="I30" s="214">
        <v>385</v>
      </c>
      <c r="J30" s="226">
        <v>112.3</v>
      </c>
      <c r="K30" s="222">
        <v>112.2</v>
      </c>
      <c r="L30" s="217">
        <f t="shared" si="0"/>
        <v>224.5</v>
      </c>
      <c r="M30" s="94">
        <f t="shared" si="1"/>
        <v>0.58311688311688314</v>
      </c>
      <c r="N30" s="68"/>
    </row>
    <row r="31" spans="2:14" x14ac:dyDescent="0.25">
      <c r="B31" s="64"/>
      <c r="C31" s="91">
        <v>7</v>
      </c>
      <c r="D31" s="91">
        <v>17</v>
      </c>
      <c r="E31" s="204" t="s">
        <v>118</v>
      </c>
      <c r="F31" s="211" t="s">
        <v>143</v>
      </c>
      <c r="G31" s="207" t="s">
        <v>74</v>
      </c>
      <c r="H31" s="93" t="s">
        <v>133</v>
      </c>
      <c r="I31" s="214">
        <v>427</v>
      </c>
      <c r="J31" s="226">
        <v>122.9</v>
      </c>
      <c r="K31" s="222">
        <v>121.1</v>
      </c>
      <c r="L31" s="217">
        <f t="shared" si="0"/>
        <v>244</v>
      </c>
      <c r="M31" s="94">
        <f t="shared" si="1"/>
        <v>0.5714285714285714</v>
      </c>
      <c r="N31" s="68"/>
    </row>
    <row r="32" spans="2:14" x14ac:dyDescent="0.25">
      <c r="B32" s="64"/>
      <c r="C32" s="91">
        <v>8</v>
      </c>
      <c r="D32" s="91">
        <v>15</v>
      </c>
      <c r="E32" s="204" t="s">
        <v>107</v>
      </c>
      <c r="F32" s="211" t="s">
        <v>143</v>
      </c>
      <c r="G32" s="207" t="s">
        <v>74</v>
      </c>
      <c r="H32" s="93" t="s">
        <v>131</v>
      </c>
      <c r="I32" s="214">
        <v>343</v>
      </c>
      <c r="J32" s="226">
        <v>97.4</v>
      </c>
      <c r="K32" s="222">
        <v>98.1</v>
      </c>
      <c r="L32" s="217">
        <f t="shared" si="0"/>
        <v>195.5</v>
      </c>
      <c r="M32" s="94">
        <f t="shared" si="1"/>
        <v>0.56997084548104959</v>
      </c>
      <c r="N32" s="68"/>
    </row>
    <row r="33" spans="2:14" x14ac:dyDescent="0.25">
      <c r="B33" s="64"/>
      <c r="C33" s="91">
        <v>9</v>
      </c>
      <c r="D33" s="91">
        <v>3</v>
      </c>
      <c r="E33" s="204" t="s">
        <v>107</v>
      </c>
      <c r="F33" s="211" t="s">
        <v>143</v>
      </c>
      <c r="G33" s="207" t="s">
        <v>74</v>
      </c>
      <c r="H33" s="93" t="s">
        <v>122</v>
      </c>
      <c r="I33" s="214">
        <v>320</v>
      </c>
      <c r="J33" s="226">
        <v>91.7</v>
      </c>
      <c r="K33" s="222">
        <v>98.8</v>
      </c>
      <c r="L33" s="217">
        <f t="shared" si="0"/>
        <v>190.5</v>
      </c>
      <c r="M33" s="94">
        <f t="shared" si="1"/>
        <v>0.59531250000000002</v>
      </c>
      <c r="N33" s="68"/>
    </row>
    <row r="34" spans="2:14" x14ac:dyDescent="0.25">
      <c r="B34" s="64"/>
      <c r="C34" s="91">
        <v>10</v>
      </c>
      <c r="D34" s="91">
        <v>20</v>
      </c>
      <c r="E34" s="204" t="s">
        <v>118</v>
      </c>
      <c r="F34" s="211" t="s">
        <v>143</v>
      </c>
      <c r="G34" s="207" t="s">
        <v>74</v>
      </c>
      <c r="H34" s="93">
        <v>1553</v>
      </c>
      <c r="I34" s="214">
        <v>381</v>
      </c>
      <c r="J34" s="226">
        <v>109.8</v>
      </c>
      <c r="K34" s="222">
        <v>107.1</v>
      </c>
      <c r="L34" s="217">
        <f t="shared" si="0"/>
        <v>216.89999999999998</v>
      </c>
      <c r="M34" s="94">
        <f t="shared" si="1"/>
        <v>0.56929133858267711</v>
      </c>
      <c r="N34" s="68"/>
    </row>
    <row r="35" spans="2:14" x14ac:dyDescent="0.25">
      <c r="B35" s="64"/>
      <c r="C35" s="91">
        <v>11</v>
      </c>
      <c r="D35" s="91">
        <v>1</v>
      </c>
      <c r="E35" s="204" t="s">
        <v>118</v>
      </c>
      <c r="F35" s="211" t="s">
        <v>143</v>
      </c>
      <c r="G35" s="207" t="s">
        <v>74</v>
      </c>
      <c r="H35" s="93" t="s">
        <v>120</v>
      </c>
      <c r="I35" s="214">
        <v>369</v>
      </c>
      <c r="J35" s="227">
        <v>106.8</v>
      </c>
      <c r="K35" s="223">
        <v>106.6</v>
      </c>
      <c r="L35" s="217">
        <f t="shared" si="0"/>
        <v>213.39999999999998</v>
      </c>
      <c r="M35" s="94">
        <f t="shared" si="1"/>
        <v>0.57831978319783195</v>
      </c>
      <c r="N35" s="68"/>
    </row>
    <row r="36" spans="2:14" x14ac:dyDescent="0.25">
      <c r="B36" s="64"/>
      <c r="C36" s="91">
        <v>12</v>
      </c>
      <c r="D36" s="91">
        <v>2</v>
      </c>
      <c r="E36" s="204" t="s">
        <v>119</v>
      </c>
      <c r="F36" s="211" t="s">
        <v>143</v>
      </c>
      <c r="G36" s="207" t="s">
        <v>74</v>
      </c>
      <c r="H36" s="93" t="s">
        <v>121</v>
      </c>
      <c r="I36" s="214">
        <v>391</v>
      </c>
      <c r="J36" s="227">
        <v>107</v>
      </c>
      <c r="K36" s="223">
        <v>107.8</v>
      </c>
      <c r="L36" s="217">
        <f t="shared" si="0"/>
        <v>214.8</v>
      </c>
      <c r="M36" s="94">
        <f t="shared" si="1"/>
        <v>0.54936061381074175</v>
      </c>
      <c r="N36" s="68"/>
    </row>
    <row r="37" spans="2:14" x14ac:dyDescent="0.25">
      <c r="B37" s="64"/>
      <c r="C37" s="92">
        <v>13</v>
      </c>
      <c r="D37" s="91">
        <v>10</v>
      </c>
      <c r="E37" s="205" t="s">
        <v>118</v>
      </c>
      <c r="F37" s="211" t="s">
        <v>143</v>
      </c>
      <c r="G37" s="207" t="s">
        <v>74</v>
      </c>
      <c r="H37" s="93">
        <v>1554</v>
      </c>
      <c r="I37" s="214">
        <v>351</v>
      </c>
      <c r="J37" s="226">
        <v>101.3</v>
      </c>
      <c r="K37" s="222">
        <v>100.8</v>
      </c>
      <c r="L37" s="217">
        <f t="shared" si="0"/>
        <v>202.1</v>
      </c>
      <c r="M37" s="94">
        <f t="shared" si="1"/>
        <v>0.57578347578347577</v>
      </c>
      <c r="N37" s="68"/>
    </row>
    <row r="38" spans="2:14" x14ac:dyDescent="0.25">
      <c r="B38" s="64"/>
      <c r="C38" s="91">
        <v>14</v>
      </c>
      <c r="D38" s="91">
        <v>7</v>
      </c>
      <c r="E38" s="204" t="s">
        <v>119</v>
      </c>
      <c r="F38" s="211" t="s">
        <v>143</v>
      </c>
      <c r="G38" s="207" t="s">
        <v>74</v>
      </c>
      <c r="H38" s="93" t="s">
        <v>125</v>
      </c>
      <c r="I38" s="214">
        <v>443</v>
      </c>
      <c r="J38" s="226">
        <v>129.30000000000001</v>
      </c>
      <c r="K38" s="222">
        <v>128.6</v>
      </c>
      <c r="L38" s="217">
        <f t="shared" si="0"/>
        <v>257.89999999999998</v>
      </c>
      <c r="M38" s="94">
        <f t="shared" si="1"/>
        <v>0.58216704288939047</v>
      </c>
      <c r="N38" s="68"/>
    </row>
    <row r="39" spans="2:14" x14ac:dyDescent="0.25">
      <c r="B39" s="64"/>
      <c r="C39" s="92">
        <v>15</v>
      </c>
      <c r="D39" s="91">
        <v>11</v>
      </c>
      <c r="E39" s="205" t="s">
        <v>119</v>
      </c>
      <c r="F39" s="211" t="s">
        <v>143</v>
      </c>
      <c r="G39" s="207" t="s">
        <v>74</v>
      </c>
      <c r="H39" s="93">
        <v>1570</v>
      </c>
      <c r="I39" s="214">
        <v>412</v>
      </c>
      <c r="J39" s="226">
        <v>121.2</v>
      </c>
      <c r="K39" s="222">
        <v>122.2</v>
      </c>
      <c r="L39" s="217">
        <f t="shared" si="0"/>
        <v>243.4</v>
      </c>
      <c r="M39" s="95">
        <f t="shared" si="1"/>
        <v>0.59077669902912622</v>
      </c>
      <c r="N39" s="68"/>
    </row>
    <row r="40" spans="2:14" x14ac:dyDescent="0.25">
      <c r="B40" s="64"/>
      <c r="C40" s="91">
        <v>16</v>
      </c>
      <c r="D40" s="91">
        <v>18</v>
      </c>
      <c r="E40" s="204" t="s">
        <v>107</v>
      </c>
      <c r="F40" s="211" t="s">
        <v>143</v>
      </c>
      <c r="G40" s="207" t="s">
        <v>74</v>
      </c>
      <c r="H40" s="93" t="s">
        <v>134</v>
      </c>
      <c r="I40" s="214">
        <v>334</v>
      </c>
      <c r="J40" s="226">
        <v>97.2</v>
      </c>
      <c r="K40" s="222">
        <v>96.9</v>
      </c>
      <c r="L40" s="217">
        <f t="shared" si="0"/>
        <v>194.10000000000002</v>
      </c>
      <c r="M40" s="94">
        <f t="shared" si="1"/>
        <v>0.58113772455089829</v>
      </c>
      <c r="N40" s="68"/>
    </row>
    <row r="41" spans="2:14" x14ac:dyDescent="0.25">
      <c r="B41" s="64"/>
      <c r="C41" s="91">
        <v>17</v>
      </c>
      <c r="D41" s="91">
        <v>8</v>
      </c>
      <c r="E41" s="204" t="s">
        <v>119</v>
      </c>
      <c r="F41" s="211" t="s">
        <v>143</v>
      </c>
      <c r="G41" s="207" t="s">
        <v>74</v>
      </c>
      <c r="H41" s="93">
        <v>1566</v>
      </c>
      <c r="I41" s="214">
        <v>358</v>
      </c>
      <c r="J41" s="226">
        <v>100.7</v>
      </c>
      <c r="K41" s="222">
        <v>100.3</v>
      </c>
      <c r="L41" s="217">
        <f t="shared" si="0"/>
        <v>201</v>
      </c>
      <c r="M41" s="94">
        <f t="shared" si="1"/>
        <v>0.56145251396648044</v>
      </c>
      <c r="N41" s="68"/>
    </row>
    <row r="42" spans="2:14" x14ac:dyDescent="0.25">
      <c r="B42" s="64"/>
      <c r="C42" s="92">
        <v>18</v>
      </c>
      <c r="D42" s="91">
        <v>14</v>
      </c>
      <c r="E42" s="205" t="s">
        <v>119</v>
      </c>
      <c r="F42" s="211" t="s">
        <v>143</v>
      </c>
      <c r="G42" s="207" t="s">
        <v>74</v>
      </c>
      <c r="H42" s="93" t="s">
        <v>130</v>
      </c>
      <c r="I42" s="214">
        <v>366</v>
      </c>
      <c r="J42" s="226">
        <v>103</v>
      </c>
      <c r="K42" s="222">
        <v>102.2</v>
      </c>
      <c r="L42" s="217">
        <f t="shared" si="0"/>
        <v>205.2</v>
      </c>
      <c r="M42" s="94">
        <f t="shared" si="1"/>
        <v>0.56065573770491806</v>
      </c>
      <c r="N42" s="68"/>
    </row>
    <row r="43" spans="2:14" x14ac:dyDescent="0.25">
      <c r="B43" s="64"/>
      <c r="C43" s="91">
        <v>19</v>
      </c>
      <c r="D43" s="91">
        <v>19</v>
      </c>
      <c r="E43" s="204" t="s">
        <v>107</v>
      </c>
      <c r="F43" s="211" t="s">
        <v>143</v>
      </c>
      <c r="G43" s="207" t="s">
        <v>74</v>
      </c>
      <c r="H43" s="96" t="s">
        <v>135</v>
      </c>
      <c r="I43" s="215">
        <v>347</v>
      </c>
      <c r="J43" s="226">
        <v>107.3</v>
      </c>
      <c r="K43" s="222">
        <v>106</v>
      </c>
      <c r="L43" s="217">
        <f t="shared" si="0"/>
        <v>213.3</v>
      </c>
      <c r="M43" s="94">
        <f t="shared" si="1"/>
        <v>0.61469740634005765</v>
      </c>
      <c r="N43" s="68"/>
    </row>
    <row r="44" spans="2:14" x14ac:dyDescent="0.25">
      <c r="B44" s="64"/>
      <c r="C44" s="91">
        <v>20</v>
      </c>
      <c r="D44" s="91">
        <v>13</v>
      </c>
      <c r="E44" s="204" t="s">
        <v>118</v>
      </c>
      <c r="F44" s="212" t="s">
        <v>143</v>
      </c>
      <c r="G44" s="207" t="s">
        <v>74</v>
      </c>
      <c r="H44" s="93" t="s">
        <v>129</v>
      </c>
      <c r="I44" s="214">
        <v>381</v>
      </c>
      <c r="J44" s="228">
        <v>110.3</v>
      </c>
      <c r="K44" s="224">
        <v>109.5</v>
      </c>
      <c r="L44" s="217">
        <f t="shared" si="0"/>
        <v>219.8</v>
      </c>
      <c r="M44" s="94">
        <f t="shared" si="1"/>
        <v>0.57690288713910765</v>
      </c>
      <c r="N44" s="68"/>
    </row>
    <row r="45" spans="2:14" x14ac:dyDescent="0.25">
      <c r="B45" s="64"/>
      <c r="C45" s="118"/>
      <c r="D45" s="118">
        <f>+COUNT($D$24:$D$44)</f>
        <v>20</v>
      </c>
      <c r="E45" s="118"/>
      <c r="F45" s="209"/>
      <c r="G45" s="170"/>
      <c r="H45" s="98"/>
      <c r="I45" s="99">
        <f>SUM($I$24:$I$44)</f>
        <v>7603</v>
      </c>
      <c r="J45" s="97">
        <f>SUM($J$24:$J$44)</f>
        <v>2210.8000000000002</v>
      </c>
      <c r="K45" s="220">
        <f>SUM($K$24:$K$44)</f>
        <v>2208.3999999999996</v>
      </c>
      <c r="L45" s="99">
        <f>SUM($L$24:$L$44)</f>
        <v>4419.2</v>
      </c>
      <c r="M45" s="100">
        <f t="shared" si="1"/>
        <v>0.58124424569248978</v>
      </c>
      <c r="N45" s="68"/>
    </row>
    <row r="46" spans="2:14" ht="16.5" thickBot="1" x14ac:dyDescent="0.3">
      <c r="B46" s="73"/>
      <c r="C46" s="74"/>
      <c r="D46" s="74"/>
      <c r="E46" s="74"/>
      <c r="F46" s="74"/>
      <c r="G46" s="74"/>
      <c r="H46" s="75"/>
      <c r="I46" s="74"/>
      <c r="J46" s="75"/>
      <c r="K46" s="74"/>
      <c r="L46" s="74"/>
      <c r="M46" s="74"/>
      <c r="N46" s="76"/>
    </row>
    <row r="47" spans="2:14" ht="17.25" thickTop="1" thickBot="1" x14ac:dyDescent="0.3">
      <c r="B47" s="61"/>
      <c r="C47" s="61"/>
      <c r="D47" s="61"/>
      <c r="E47" s="61"/>
      <c r="F47" s="61"/>
      <c r="G47" s="61"/>
      <c r="H47" s="62"/>
      <c r="I47" s="61"/>
      <c r="J47" s="62"/>
      <c r="K47" s="61"/>
      <c r="L47" s="61"/>
      <c r="M47" s="61"/>
      <c r="N47" s="61"/>
    </row>
    <row r="48" spans="2:14" ht="16.5" thickTop="1" x14ac:dyDescent="0.25">
      <c r="B48" s="60"/>
      <c r="C48" s="61"/>
      <c r="D48" s="61"/>
      <c r="E48" s="61"/>
      <c r="F48" s="61"/>
      <c r="G48" s="61"/>
      <c r="H48" s="62"/>
      <c r="I48" s="61"/>
      <c r="J48" s="62"/>
      <c r="K48" s="61"/>
      <c r="L48" s="61"/>
      <c r="M48" s="61"/>
      <c r="N48" s="63"/>
    </row>
    <row r="49" spans="2:14" ht="32.25" customHeight="1" x14ac:dyDescent="0.25">
      <c r="B49" s="64"/>
      <c r="D49" s="171" t="s">
        <v>86</v>
      </c>
      <c r="E49" s="172"/>
      <c r="F49" s="172"/>
      <c r="G49" s="172"/>
      <c r="H49" s="124" t="s">
        <v>87</v>
      </c>
      <c r="I49" s="125" t="s">
        <v>62</v>
      </c>
      <c r="J49" s="126" t="s">
        <v>88</v>
      </c>
      <c r="K49" s="127" t="s">
        <v>89</v>
      </c>
      <c r="N49" s="68"/>
    </row>
    <row r="50" spans="2:14" x14ac:dyDescent="0.25">
      <c r="B50" s="64"/>
      <c r="D50" s="173" t="s">
        <v>20</v>
      </c>
      <c r="E50" s="174"/>
      <c r="F50" s="174"/>
      <c r="G50" s="174"/>
      <c r="H50" s="128"/>
      <c r="J50" s="128"/>
      <c r="K50" s="129"/>
      <c r="N50" s="68"/>
    </row>
    <row r="51" spans="2:14" x14ac:dyDescent="0.25">
      <c r="B51" s="64"/>
      <c r="D51" s="173" t="s">
        <v>7</v>
      </c>
      <c r="E51" s="174"/>
      <c r="F51" s="174"/>
      <c r="G51" s="174"/>
      <c r="H51" s="128"/>
      <c r="J51" s="128"/>
      <c r="K51" s="129"/>
      <c r="N51" s="68"/>
    </row>
    <row r="52" spans="2:14" x14ac:dyDescent="0.25">
      <c r="B52" s="64"/>
      <c r="D52" s="173" t="s">
        <v>6</v>
      </c>
      <c r="E52" s="174"/>
      <c r="F52" s="174"/>
      <c r="G52" s="174"/>
      <c r="H52" s="128"/>
      <c r="J52" s="128"/>
      <c r="K52" s="129"/>
      <c r="N52" s="68"/>
    </row>
    <row r="53" spans="2:14" x14ac:dyDescent="0.25">
      <c r="B53" s="64"/>
      <c r="D53" s="173" t="s">
        <v>10</v>
      </c>
      <c r="E53" s="174"/>
      <c r="F53" s="174"/>
      <c r="G53" s="174"/>
      <c r="H53" s="128"/>
      <c r="J53" s="128"/>
      <c r="K53" s="129"/>
      <c r="N53" s="68"/>
    </row>
    <row r="54" spans="2:14" x14ac:dyDescent="0.25">
      <c r="B54" s="64"/>
      <c r="D54" s="173" t="s">
        <v>21</v>
      </c>
      <c r="E54" s="174"/>
      <c r="F54" s="174"/>
      <c r="G54" s="174"/>
      <c r="H54" s="128"/>
      <c r="J54" s="128"/>
      <c r="K54" s="129"/>
      <c r="N54" s="68"/>
    </row>
    <row r="55" spans="2:14" x14ac:dyDescent="0.25">
      <c r="B55" s="64"/>
      <c r="D55" s="173" t="s">
        <v>5</v>
      </c>
      <c r="E55" s="174"/>
      <c r="F55" s="174"/>
      <c r="G55" s="174"/>
      <c r="H55" s="128"/>
      <c r="J55" s="128"/>
      <c r="K55" s="129"/>
      <c r="N55" s="68"/>
    </row>
    <row r="56" spans="2:14" x14ac:dyDescent="0.25">
      <c r="B56" s="64"/>
      <c r="D56" s="173" t="s">
        <v>22</v>
      </c>
      <c r="E56" s="174"/>
      <c r="F56" s="174"/>
      <c r="G56" s="174"/>
      <c r="H56" s="128"/>
      <c r="J56" s="128"/>
      <c r="K56" s="129"/>
      <c r="N56" s="68"/>
    </row>
    <row r="57" spans="2:14" x14ac:dyDescent="0.25">
      <c r="B57" s="64"/>
      <c r="D57" s="173" t="s">
        <v>8</v>
      </c>
      <c r="E57" s="174"/>
      <c r="F57" s="174"/>
      <c r="G57" s="174"/>
      <c r="H57" s="128"/>
      <c r="J57" s="128"/>
      <c r="K57" s="129"/>
      <c r="N57" s="68"/>
    </row>
    <row r="58" spans="2:14" x14ac:dyDescent="0.25">
      <c r="B58" s="64"/>
      <c r="D58" s="173" t="s">
        <v>23</v>
      </c>
      <c r="E58" s="174"/>
      <c r="F58" s="174"/>
      <c r="G58" s="174"/>
      <c r="H58" s="128"/>
      <c r="J58" s="128"/>
      <c r="K58" s="129"/>
      <c r="N58" s="68"/>
    </row>
    <row r="59" spans="2:14" x14ac:dyDescent="0.25">
      <c r="B59" s="64"/>
      <c r="D59" s="173" t="s">
        <v>36</v>
      </c>
      <c r="E59" s="174"/>
      <c r="F59" s="174"/>
      <c r="G59" s="174"/>
      <c r="H59" s="128"/>
      <c r="J59" s="128"/>
      <c r="K59" s="129"/>
      <c r="N59" s="68"/>
    </row>
    <row r="60" spans="2:14" x14ac:dyDescent="0.25">
      <c r="B60" s="64"/>
      <c r="D60" s="173" t="s">
        <v>9</v>
      </c>
      <c r="E60" s="174"/>
      <c r="F60" s="174"/>
      <c r="G60" s="174"/>
      <c r="H60" s="128"/>
      <c r="J60" s="128"/>
      <c r="K60" s="129"/>
      <c r="N60" s="68"/>
    </row>
    <row r="61" spans="2:14" x14ac:dyDescent="0.25">
      <c r="B61" s="64"/>
      <c r="D61" s="173" t="s">
        <v>24</v>
      </c>
      <c r="E61" s="174"/>
      <c r="F61" s="174"/>
      <c r="G61" s="174"/>
      <c r="H61" s="128"/>
      <c r="J61" s="128"/>
      <c r="K61" s="129"/>
      <c r="N61" s="68"/>
    </row>
    <row r="62" spans="2:14" x14ac:dyDescent="0.25">
      <c r="B62" s="64"/>
      <c r="D62" s="173" t="s">
        <v>37</v>
      </c>
      <c r="E62" s="174"/>
      <c r="F62" s="174"/>
      <c r="G62" s="174"/>
      <c r="H62" s="128"/>
      <c r="J62" s="128"/>
      <c r="K62" s="129"/>
      <c r="N62" s="68"/>
    </row>
    <row r="63" spans="2:14" x14ac:dyDescent="0.25">
      <c r="B63" s="64"/>
      <c r="D63" s="178" t="s">
        <v>90</v>
      </c>
      <c r="E63" s="179"/>
      <c r="F63" s="179"/>
      <c r="G63" s="180"/>
      <c r="H63" s="130"/>
      <c r="I63" s="131">
        <f>SUM(I50:I62)</f>
        <v>0</v>
      </c>
      <c r="J63" s="132">
        <f>SUM(J50:J62)</f>
        <v>0</v>
      </c>
      <c r="K63" s="133">
        <f>SUM(K50:K62)</f>
        <v>0</v>
      </c>
      <c r="N63" s="68"/>
    </row>
    <row r="64" spans="2:14" ht="16.5" thickBot="1" x14ac:dyDescent="0.3">
      <c r="B64" s="73"/>
      <c r="C64" s="74"/>
      <c r="D64" s="74"/>
      <c r="E64" s="74"/>
      <c r="F64" s="74"/>
      <c r="G64" s="74"/>
      <c r="H64" s="75"/>
      <c r="I64" s="74"/>
      <c r="J64" s="75"/>
      <c r="K64" s="74"/>
      <c r="L64" s="74"/>
      <c r="M64" s="74"/>
      <c r="N64" s="76"/>
    </row>
    <row r="65" spans="2:14" ht="16.5" thickTop="1" x14ac:dyDescent="0.25">
      <c r="B65" s="64"/>
      <c r="G65" s="134"/>
      <c r="H65" s="135"/>
      <c r="I65" s="134"/>
      <c r="J65" s="135"/>
      <c r="N65" s="68"/>
    </row>
    <row r="66" spans="2:14" ht="15.75" customHeight="1" x14ac:dyDescent="0.25">
      <c r="B66" s="64"/>
      <c r="F66" s="181" t="s">
        <v>91</v>
      </c>
      <c r="G66" s="181"/>
      <c r="H66" s="136" t="s">
        <v>92</v>
      </c>
      <c r="I66" s="124" t="s">
        <v>80</v>
      </c>
      <c r="N66" s="68"/>
    </row>
    <row r="67" spans="2:14" x14ac:dyDescent="0.25">
      <c r="B67" s="64"/>
      <c r="F67" s="182" t="s">
        <v>35</v>
      </c>
      <c r="G67" s="182"/>
      <c r="H67" s="137"/>
      <c r="I67" s="138"/>
      <c r="N67" s="68"/>
    </row>
    <row r="68" spans="2:14" x14ac:dyDescent="0.25">
      <c r="B68" s="64"/>
      <c r="F68" s="175" t="s">
        <v>93</v>
      </c>
      <c r="G68" s="175"/>
      <c r="H68" s="139">
        <f>+D45</f>
        <v>20</v>
      </c>
      <c r="I68" s="140"/>
      <c r="N68" s="68"/>
    </row>
    <row r="69" spans="2:14" x14ac:dyDescent="0.25">
      <c r="B69" s="64"/>
      <c r="F69" s="175" t="s">
        <v>94</v>
      </c>
      <c r="G69" s="175"/>
      <c r="H69" s="141"/>
      <c r="I69" s="140"/>
      <c r="N69" s="68"/>
    </row>
    <row r="70" spans="2:14" x14ac:dyDescent="0.25">
      <c r="B70" s="64"/>
      <c r="F70" s="175" t="s">
        <v>95</v>
      </c>
      <c r="G70" s="175"/>
      <c r="H70" s="141"/>
      <c r="I70" s="140"/>
      <c r="N70" s="68"/>
    </row>
    <row r="71" spans="2:14" x14ac:dyDescent="0.25">
      <c r="B71" s="64"/>
      <c r="F71" s="176" t="s">
        <v>96</v>
      </c>
      <c r="G71" s="176"/>
      <c r="H71" s="142"/>
      <c r="I71" s="143"/>
      <c r="N71" s="68"/>
    </row>
    <row r="72" spans="2:14" x14ac:dyDescent="0.25">
      <c r="B72" s="64"/>
      <c r="F72" s="177" t="s">
        <v>90</v>
      </c>
      <c r="G72" s="177"/>
      <c r="H72" s="144"/>
      <c r="I72" s="130">
        <f>SUM(I67:I71)</f>
        <v>0</v>
      </c>
      <c r="N72" s="68"/>
    </row>
    <row r="73" spans="2:14" ht="16.5" thickBot="1" x14ac:dyDescent="0.3">
      <c r="B73" s="73"/>
      <c r="C73" s="74"/>
      <c r="D73" s="74"/>
      <c r="E73" s="74"/>
      <c r="F73" s="74"/>
      <c r="G73" s="74"/>
      <c r="H73" s="75"/>
      <c r="I73" s="74"/>
      <c r="J73" s="75"/>
      <c r="K73" s="74"/>
      <c r="L73" s="74"/>
      <c r="M73" s="74"/>
      <c r="N73" s="76"/>
    </row>
    <row r="74" spans="2:14" ht="16.5" thickTop="1" x14ac:dyDescent="0.25">
      <c r="I74" s="101"/>
    </row>
  </sheetData>
  <sortState ref="C25:I44">
    <sortCondition ref="C25"/>
  </sortState>
  <mergeCells count="53"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L23:L24"/>
    <mergeCell ref="M23:M24"/>
    <mergeCell ref="C20:D20"/>
    <mergeCell ref="E20:F20"/>
    <mergeCell ref="C23:C24"/>
    <mergeCell ref="D23:D24"/>
    <mergeCell ref="E23:E24"/>
    <mergeCell ref="F23:G23"/>
    <mergeCell ref="D53:G53"/>
    <mergeCell ref="H23:H24"/>
    <mergeCell ref="I23:I24"/>
    <mergeCell ref="J23:J24"/>
    <mergeCell ref="K23:K24"/>
    <mergeCell ref="F45:G45"/>
    <mergeCell ref="D49:G49"/>
    <mergeCell ref="D50:G50"/>
    <mergeCell ref="D51:G51"/>
    <mergeCell ref="D52:G52"/>
    <mergeCell ref="F67:G67"/>
    <mergeCell ref="D54:G54"/>
    <mergeCell ref="D55:G55"/>
    <mergeCell ref="D56:G56"/>
    <mergeCell ref="D57:G57"/>
    <mergeCell ref="D58:G58"/>
    <mergeCell ref="D59:G59"/>
    <mergeCell ref="D60:G60"/>
    <mergeCell ref="D61:G61"/>
    <mergeCell ref="D62:G62"/>
    <mergeCell ref="D63:G63"/>
    <mergeCell ref="F66:G66"/>
    <mergeCell ref="F68:G68"/>
    <mergeCell ref="F69:G69"/>
    <mergeCell ref="F70:G70"/>
    <mergeCell ref="F71:G71"/>
    <mergeCell ref="F72:G72"/>
  </mergeCells>
  <conditionalFormatting sqref="M25:M44">
    <cfRule type="cellIs" dxfId="1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59"/>
  <sheetViews>
    <sheetView view="pageBreakPreview" topLeftCell="A19" zoomScale="60" zoomScaleNormal="100" workbookViewId="0">
      <selection activeCell="J25" sqref="J25:J29"/>
    </sheetView>
  </sheetViews>
  <sheetFormatPr baseColWidth="10" defaultColWidth="12.42578125" defaultRowHeight="15.75" x14ac:dyDescent="0.25"/>
  <cols>
    <col min="1" max="1" width="4" style="58" customWidth="1"/>
    <col min="2" max="2" width="3.7109375" style="58" customWidth="1"/>
    <col min="3" max="3" width="9.5703125" style="58" customWidth="1"/>
    <col min="4" max="4" width="9.7109375" style="58" customWidth="1"/>
    <col min="5" max="5" width="6.42578125" style="58" customWidth="1"/>
    <col min="6" max="7" width="12.7109375" style="58" customWidth="1"/>
    <col min="8" max="8" width="17.42578125" style="59" customWidth="1"/>
    <col min="9" max="9" width="12.7109375" style="58" customWidth="1"/>
    <col min="10" max="10" width="14.42578125" style="59" bestFit="1" customWidth="1"/>
    <col min="11" max="12" width="12.7109375" style="58" customWidth="1"/>
    <col min="13" max="13" width="12.42578125" style="58"/>
    <col min="14" max="14" width="3.7109375" style="58" customWidth="1"/>
    <col min="15" max="16384" width="12.42578125" style="58"/>
  </cols>
  <sheetData>
    <row r="1" spans="2:14" ht="16.5" thickBot="1" x14ac:dyDescent="0.3"/>
    <row r="2" spans="2:14" ht="17.25" thickTop="1" thickBot="1" x14ac:dyDescent="0.3">
      <c r="B2" s="60"/>
      <c r="C2" s="61"/>
      <c r="D2" s="61"/>
      <c r="E2" s="61"/>
      <c r="F2" s="61"/>
      <c r="G2" s="61"/>
      <c r="H2" s="62"/>
      <c r="I2" s="61"/>
      <c r="J2" s="62"/>
      <c r="K2" s="61"/>
      <c r="L2" s="61"/>
      <c r="M2" s="61"/>
      <c r="N2" s="63"/>
    </row>
    <row r="3" spans="2:14" ht="17.25" thickTop="1" thickBot="1" x14ac:dyDescent="0.3">
      <c r="B3" s="64"/>
      <c r="G3" s="58" t="s">
        <v>53</v>
      </c>
      <c r="H3" s="58"/>
      <c r="J3" s="58"/>
      <c r="K3" s="66" t="s">
        <v>25</v>
      </c>
      <c r="L3" s="67">
        <f>+M30</f>
        <v>0.57762506871907648</v>
      </c>
      <c r="N3" s="68"/>
    </row>
    <row r="4" spans="2:14" ht="17.25" thickTop="1" thickBot="1" x14ac:dyDescent="0.3">
      <c r="B4" s="64"/>
      <c r="G4" s="59" t="s">
        <v>54</v>
      </c>
      <c r="K4" s="66" t="s">
        <v>26</v>
      </c>
      <c r="L4" s="70">
        <f>+L30/D30</f>
        <v>210.14000000000001</v>
      </c>
      <c r="N4" s="68"/>
    </row>
    <row r="5" spans="2:14" ht="16.5" thickTop="1" x14ac:dyDescent="0.25">
      <c r="B5" s="64"/>
      <c r="G5" s="59" t="s">
        <v>55</v>
      </c>
      <c r="K5" s="71"/>
      <c r="L5" s="72"/>
      <c r="N5" s="68"/>
    </row>
    <row r="6" spans="2:14" ht="16.5" thickBot="1" x14ac:dyDescent="0.3">
      <c r="B6" s="73"/>
      <c r="C6" s="74"/>
      <c r="D6" s="74"/>
      <c r="E6" s="74"/>
      <c r="F6" s="74"/>
      <c r="G6" s="74"/>
      <c r="H6" s="75"/>
      <c r="I6" s="74"/>
      <c r="J6" s="75"/>
      <c r="K6" s="74"/>
      <c r="L6" s="74"/>
      <c r="M6" s="74"/>
      <c r="N6" s="76"/>
    </row>
    <row r="7" spans="2:14" ht="8.1" customHeight="1" thickTop="1" x14ac:dyDescent="0.25">
      <c r="B7" s="60"/>
      <c r="C7" s="61"/>
      <c r="D7" s="61"/>
      <c r="E7" s="61"/>
      <c r="F7" s="61"/>
      <c r="G7" s="61"/>
      <c r="H7" s="62"/>
      <c r="I7" s="60"/>
      <c r="J7" s="62"/>
      <c r="K7" s="61"/>
      <c r="L7" s="61"/>
      <c r="M7" s="61"/>
      <c r="N7" s="63"/>
    </row>
    <row r="8" spans="2:14" x14ac:dyDescent="0.25">
      <c r="B8" s="64"/>
      <c r="C8" s="149" t="s">
        <v>56</v>
      </c>
      <c r="D8" s="149"/>
      <c r="E8" s="150" t="s">
        <v>103</v>
      </c>
      <c r="F8" s="150"/>
      <c r="G8" s="150"/>
      <c r="H8" s="151"/>
      <c r="I8" s="77" t="s">
        <v>57</v>
      </c>
      <c r="J8" s="153" t="s">
        <v>136</v>
      </c>
      <c r="K8" s="153"/>
      <c r="L8" s="153"/>
      <c r="M8" s="153"/>
      <c r="N8" s="68"/>
    </row>
    <row r="9" spans="2:14" x14ac:dyDescent="0.25">
      <c r="B9" s="64"/>
      <c r="C9" s="152" t="s">
        <v>58</v>
      </c>
      <c r="D9" s="152"/>
      <c r="E9" s="150">
        <v>28012</v>
      </c>
      <c r="F9" s="150"/>
      <c r="G9" s="150"/>
      <c r="H9" s="151"/>
      <c r="I9" s="77" t="s">
        <v>59</v>
      </c>
      <c r="J9" s="117" t="s">
        <v>137</v>
      </c>
      <c r="K9" s="115" t="s">
        <v>60</v>
      </c>
      <c r="L9" s="146" t="s">
        <v>138</v>
      </c>
      <c r="M9" s="146"/>
      <c r="N9" s="68"/>
    </row>
    <row r="10" spans="2:14" x14ac:dyDescent="0.25">
      <c r="B10" s="64"/>
      <c r="C10" s="120"/>
      <c r="D10" s="120"/>
      <c r="E10" s="121"/>
      <c r="F10" s="121"/>
      <c r="G10" s="121"/>
      <c r="H10" s="107"/>
      <c r="I10" s="77" t="s">
        <v>84</v>
      </c>
      <c r="J10" s="145">
        <v>46147</v>
      </c>
      <c r="K10" s="115" t="s">
        <v>85</v>
      </c>
      <c r="L10" s="148">
        <v>0.65625</v>
      </c>
      <c r="M10" s="146"/>
      <c r="N10" s="68"/>
    </row>
    <row r="11" spans="2:14" ht="8.1" customHeight="1" thickBot="1" x14ac:dyDescent="0.3">
      <c r="B11" s="73"/>
      <c r="C11" s="78"/>
      <c r="D11" s="78"/>
      <c r="E11" s="74"/>
      <c r="F11" s="74"/>
      <c r="G11" s="74"/>
      <c r="H11" s="75"/>
      <c r="I11" s="73"/>
      <c r="J11" s="75"/>
      <c r="K11" s="74"/>
      <c r="L11" s="74"/>
      <c r="M11" s="74"/>
      <c r="N11" s="76"/>
    </row>
    <row r="12" spans="2:14" ht="8.1" customHeight="1" thickTop="1" x14ac:dyDescent="0.25">
      <c r="B12" s="64"/>
      <c r="C12" s="79"/>
      <c r="D12" s="79"/>
      <c r="E12" s="65"/>
      <c r="F12" s="65"/>
      <c r="G12" s="65"/>
      <c r="H12" s="69"/>
      <c r="I12" s="65"/>
      <c r="J12" s="69"/>
      <c r="K12" s="65"/>
      <c r="L12" s="65"/>
      <c r="M12" s="65"/>
      <c r="N12" s="68"/>
    </row>
    <row r="13" spans="2:14" ht="8.1" customHeight="1" x14ac:dyDescent="0.25">
      <c r="B13" s="64"/>
      <c r="C13" s="122"/>
      <c r="D13" s="122"/>
      <c r="N13" s="68"/>
    </row>
    <row r="14" spans="2:14" x14ac:dyDescent="0.25">
      <c r="B14" s="64"/>
      <c r="D14" s="115" t="s">
        <v>77</v>
      </c>
      <c r="E14" s="147">
        <v>46148</v>
      </c>
      <c r="F14" s="147"/>
      <c r="H14" s="58"/>
      <c r="I14" s="80"/>
      <c r="J14" s="58"/>
      <c r="K14" s="114" t="s">
        <v>61</v>
      </c>
      <c r="L14" s="114" t="s">
        <v>62</v>
      </c>
      <c r="N14" s="68"/>
    </row>
    <row r="15" spans="2:14" x14ac:dyDescent="0.25">
      <c r="B15" s="64"/>
      <c r="C15" s="149" t="s">
        <v>63</v>
      </c>
      <c r="D15" s="149"/>
      <c r="E15" s="154">
        <v>179</v>
      </c>
      <c r="F15" s="154"/>
      <c r="H15" s="58"/>
      <c r="I15" s="80"/>
      <c r="J15" s="114" t="s">
        <v>64</v>
      </c>
      <c r="K15" s="116">
        <f>+COUNTIF($G$24:$G$30,"VQ")*2</f>
        <v>8</v>
      </c>
      <c r="L15" s="116">
        <f>+SUMIF($G$25:$G$29,"VQ",$L$25:$L$29)</f>
        <v>818.5</v>
      </c>
      <c r="N15" s="68"/>
    </row>
    <row r="16" spans="2:14" x14ac:dyDescent="0.25">
      <c r="B16" s="64"/>
      <c r="C16" s="149" t="s">
        <v>65</v>
      </c>
      <c r="D16" s="149"/>
      <c r="E16" s="146">
        <v>5</v>
      </c>
      <c r="F16" s="146"/>
      <c r="H16" s="58"/>
      <c r="I16" s="80"/>
      <c r="J16" s="114" t="s">
        <v>66</v>
      </c>
      <c r="K16" s="116">
        <f>+COUNTIF($G$24:$G$30,"NT")*2</f>
        <v>0</v>
      </c>
      <c r="L16" s="116">
        <f>+SUMIF($G$25:$G$29,"NT",$L$25:$L$29)</f>
        <v>0</v>
      </c>
      <c r="N16" s="68"/>
    </row>
    <row r="17" spans="2:14" x14ac:dyDescent="0.25">
      <c r="B17" s="64"/>
      <c r="C17" s="149" t="s">
        <v>67</v>
      </c>
      <c r="D17" s="149"/>
      <c r="E17" s="155">
        <f>+I30</f>
        <v>1819</v>
      </c>
      <c r="F17" s="146"/>
      <c r="H17" s="58"/>
      <c r="I17" s="80"/>
      <c r="J17" s="114" t="s">
        <v>68</v>
      </c>
      <c r="K17" s="116">
        <f>+COUNTIF($G$24:$G$30,"NO")*2</f>
        <v>0</v>
      </c>
      <c r="L17" s="116">
        <f>+SUMIF($G$25:$G$29,"NO",$L$25:$L$29)</f>
        <v>0</v>
      </c>
      <c r="N17" s="68"/>
    </row>
    <row r="18" spans="2:14" x14ac:dyDescent="0.25">
      <c r="B18" s="64"/>
      <c r="C18" s="149" t="s">
        <v>69</v>
      </c>
      <c r="D18" s="149"/>
      <c r="E18" s="155">
        <f>+L30</f>
        <v>1050.7</v>
      </c>
      <c r="F18" s="146"/>
      <c r="H18" s="58"/>
      <c r="I18" s="80"/>
      <c r="J18" s="114" t="s">
        <v>70</v>
      </c>
      <c r="K18" s="116">
        <f>+COUNTIF($G$24:$G$30,"TO")*2</f>
        <v>0</v>
      </c>
      <c r="L18" s="116">
        <f>+SUMIF($G$25:$G$29,"TO",$L$25:$L$29)</f>
        <v>0</v>
      </c>
      <c r="N18" s="68"/>
    </row>
    <row r="19" spans="2:14" x14ac:dyDescent="0.25">
      <c r="B19" s="64"/>
      <c r="C19" s="149" t="s">
        <v>71</v>
      </c>
      <c r="D19" s="149"/>
      <c r="E19" s="156">
        <f>+M30</f>
        <v>0.57762506871907648</v>
      </c>
      <c r="F19" s="146"/>
      <c r="G19" s="80"/>
      <c r="H19" s="123"/>
      <c r="I19" s="80"/>
      <c r="J19" s="114" t="s">
        <v>72</v>
      </c>
      <c r="K19" s="116">
        <f>+COUNTIF($G$24:$G$30,"VA")*2</f>
        <v>0</v>
      </c>
      <c r="L19" s="116">
        <f>+SUMIF($G$25:$G$29,"VA",$L$25:$L$29)</f>
        <v>0</v>
      </c>
      <c r="N19" s="68"/>
    </row>
    <row r="20" spans="2:14" x14ac:dyDescent="0.25">
      <c r="B20" s="64"/>
      <c r="C20" s="149" t="s">
        <v>73</v>
      </c>
      <c r="D20" s="149"/>
      <c r="E20" s="153">
        <f>+L30/D30</f>
        <v>210.14000000000001</v>
      </c>
      <c r="F20" s="153"/>
      <c r="G20" s="80"/>
      <c r="H20" s="123"/>
      <c r="I20" s="80"/>
      <c r="J20" s="114" t="s">
        <v>74</v>
      </c>
      <c r="K20" s="116">
        <f>+COUNTIF($G$24:$G$30,"MEJ")*2</f>
        <v>2</v>
      </c>
      <c r="L20" s="116">
        <f>+SUMIF($G$25:$G$29,"MEJ",$L$25:$L$29)</f>
        <v>232.2</v>
      </c>
      <c r="N20" s="68"/>
    </row>
    <row r="21" spans="2:14" ht="9.9499999999999993" customHeight="1" thickBot="1" x14ac:dyDescent="0.3">
      <c r="B21" s="73"/>
      <c r="C21" s="81"/>
      <c r="D21" s="81"/>
      <c r="E21" s="74"/>
      <c r="F21" s="74"/>
      <c r="G21" s="82"/>
      <c r="H21" s="83"/>
      <c r="I21" s="82"/>
      <c r="J21" s="74"/>
      <c r="K21" s="74"/>
      <c r="L21" s="74"/>
      <c r="M21" s="74"/>
      <c r="N21" s="76"/>
    </row>
    <row r="22" spans="2:14" ht="9.9499999999999993" customHeight="1" thickTop="1" x14ac:dyDescent="0.25">
      <c r="B22" s="64"/>
      <c r="N22" s="68"/>
    </row>
    <row r="23" spans="2:14" s="86" customFormat="1" ht="26.25" customHeight="1" x14ac:dyDescent="0.25">
      <c r="B23" s="84"/>
      <c r="C23" s="163" t="s">
        <v>27</v>
      </c>
      <c r="D23" s="163" t="s">
        <v>28</v>
      </c>
      <c r="E23" s="159" t="s">
        <v>52</v>
      </c>
      <c r="F23" s="166" t="s">
        <v>29</v>
      </c>
      <c r="G23" s="167"/>
      <c r="H23" s="168" t="s">
        <v>30</v>
      </c>
      <c r="I23" s="157" t="s">
        <v>31</v>
      </c>
      <c r="J23" s="157" t="s">
        <v>2</v>
      </c>
      <c r="K23" s="159" t="s">
        <v>3</v>
      </c>
      <c r="L23" s="157" t="s">
        <v>32</v>
      </c>
      <c r="M23" s="161" t="s">
        <v>33</v>
      </c>
      <c r="N23" s="85"/>
    </row>
    <row r="24" spans="2:14" x14ac:dyDescent="0.25">
      <c r="B24" s="64"/>
      <c r="C24" s="164"/>
      <c r="D24" s="165"/>
      <c r="E24" s="160"/>
      <c r="F24" s="208" t="s">
        <v>75</v>
      </c>
      <c r="G24" s="87" t="s">
        <v>76</v>
      </c>
      <c r="H24" s="169"/>
      <c r="I24" s="158"/>
      <c r="J24" s="218"/>
      <c r="K24" s="219"/>
      <c r="L24" s="158"/>
      <c r="M24" s="162"/>
      <c r="N24" s="68"/>
    </row>
    <row r="25" spans="2:14" x14ac:dyDescent="0.25">
      <c r="B25" s="64"/>
      <c r="C25" s="88">
        <v>21</v>
      </c>
      <c r="D25" s="88">
        <v>5</v>
      </c>
      <c r="E25" s="203" t="s">
        <v>118</v>
      </c>
      <c r="F25" s="210" t="s">
        <v>143</v>
      </c>
      <c r="G25" s="206" t="s">
        <v>74</v>
      </c>
      <c r="H25" s="89" t="s">
        <v>127</v>
      </c>
      <c r="I25" s="213">
        <v>406</v>
      </c>
      <c r="J25" s="225">
        <v>116.4</v>
      </c>
      <c r="K25" s="221">
        <v>115.8</v>
      </c>
      <c r="L25" s="216">
        <f t="shared" ref="L25:L29" si="0">+J25+K25</f>
        <v>232.2</v>
      </c>
      <c r="M25" s="90">
        <f t="shared" ref="M25:M30" si="1">+L25/I25</f>
        <v>0.57192118226600985</v>
      </c>
      <c r="N25" s="68"/>
    </row>
    <row r="26" spans="2:14" x14ac:dyDescent="0.25">
      <c r="B26" s="64"/>
      <c r="C26" s="91">
        <v>22</v>
      </c>
      <c r="D26" s="91">
        <v>1</v>
      </c>
      <c r="E26" s="204" t="s">
        <v>118</v>
      </c>
      <c r="F26" s="211" t="s">
        <v>144</v>
      </c>
      <c r="G26" s="207" t="s">
        <v>64</v>
      </c>
      <c r="H26" s="93" t="s">
        <v>139</v>
      </c>
      <c r="I26" s="214">
        <v>383</v>
      </c>
      <c r="J26" s="226">
        <v>112</v>
      </c>
      <c r="K26" s="222">
        <v>111</v>
      </c>
      <c r="L26" s="217">
        <f t="shared" si="0"/>
        <v>223</v>
      </c>
      <c r="M26" s="94">
        <f t="shared" si="1"/>
        <v>0.5822454308093995</v>
      </c>
      <c r="N26" s="68"/>
    </row>
    <row r="27" spans="2:14" x14ac:dyDescent="0.25">
      <c r="B27" s="64"/>
      <c r="C27" s="91">
        <v>23</v>
      </c>
      <c r="D27" s="91">
        <v>3</v>
      </c>
      <c r="E27" s="204" t="s">
        <v>118</v>
      </c>
      <c r="F27" s="211" t="s">
        <v>144</v>
      </c>
      <c r="G27" s="207" t="s">
        <v>64</v>
      </c>
      <c r="H27" s="93" t="s">
        <v>141</v>
      </c>
      <c r="I27" s="214">
        <v>368</v>
      </c>
      <c r="J27" s="226">
        <v>103.9</v>
      </c>
      <c r="K27" s="222">
        <v>104.8</v>
      </c>
      <c r="L27" s="217">
        <f t="shared" si="0"/>
        <v>208.7</v>
      </c>
      <c r="M27" s="94">
        <f t="shared" si="1"/>
        <v>0.56711956521739126</v>
      </c>
      <c r="N27" s="68"/>
    </row>
    <row r="28" spans="2:14" x14ac:dyDescent="0.25">
      <c r="B28" s="64"/>
      <c r="C28" s="91">
        <v>24</v>
      </c>
      <c r="D28" s="91">
        <v>2</v>
      </c>
      <c r="E28" s="204" t="s">
        <v>118</v>
      </c>
      <c r="F28" s="211" t="s">
        <v>144</v>
      </c>
      <c r="G28" s="207" t="s">
        <v>64</v>
      </c>
      <c r="H28" s="93" t="s">
        <v>140</v>
      </c>
      <c r="I28" s="214">
        <v>338</v>
      </c>
      <c r="J28" s="226">
        <v>97.1</v>
      </c>
      <c r="K28" s="222">
        <v>97.5</v>
      </c>
      <c r="L28" s="217">
        <f t="shared" si="0"/>
        <v>194.6</v>
      </c>
      <c r="M28" s="94">
        <f t="shared" si="1"/>
        <v>0.57573964497041419</v>
      </c>
      <c r="N28" s="68"/>
    </row>
    <row r="29" spans="2:14" x14ac:dyDescent="0.25">
      <c r="B29" s="64"/>
      <c r="C29" s="91">
        <v>25</v>
      </c>
      <c r="D29" s="91">
        <v>4</v>
      </c>
      <c r="E29" s="204" t="s">
        <v>118</v>
      </c>
      <c r="F29" s="212" t="s">
        <v>144</v>
      </c>
      <c r="G29" s="207" t="s">
        <v>64</v>
      </c>
      <c r="H29" s="93" t="s">
        <v>142</v>
      </c>
      <c r="I29" s="214">
        <v>324</v>
      </c>
      <c r="J29" s="228">
        <v>96.2</v>
      </c>
      <c r="K29" s="224">
        <v>96</v>
      </c>
      <c r="L29" s="217">
        <f t="shared" si="0"/>
        <v>192.2</v>
      </c>
      <c r="M29" s="94">
        <f t="shared" si="1"/>
        <v>0.59320987654320989</v>
      </c>
      <c r="N29" s="68"/>
    </row>
    <row r="30" spans="2:14" x14ac:dyDescent="0.25">
      <c r="B30" s="64"/>
      <c r="C30" s="118"/>
      <c r="D30" s="118">
        <f>+COUNT($D$24:$D$29)</f>
        <v>5</v>
      </c>
      <c r="E30" s="118"/>
      <c r="F30" s="209"/>
      <c r="G30" s="170"/>
      <c r="H30" s="98"/>
      <c r="I30" s="99">
        <f>SUM($I$24:$I$29)</f>
        <v>1819</v>
      </c>
      <c r="J30" s="97">
        <f>SUM($J$24:$J$29)</f>
        <v>525.6</v>
      </c>
      <c r="K30" s="220">
        <f>SUM($K$24:$K$29)</f>
        <v>525.1</v>
      </c>
      <c r="L30" s="99">
        <f>SUM($L$24:$L$29)</f>
        <v>1050.7</v>
      </c>
      <c r="M30" s="100">
        <f t="shared" si="1"/>
        <v>0.57762506871907648</v>
      </c>
      <c r="N30" s="68"/>
    </row>
    <row r="31" spans="2:14" ht="16.5" thickBot="1" x14ac:dyDescent="0.3">
      <c r="B31" s="73"/>
      <c r="C31" s="74"/>
      <c r="D31" s="74"/>
      <c r="E31" s="74"/>
      <c r="F31" s="74"/>
      <c r="G31" s="74"/>
      <c r="H31" s="75"/>
      <c r="I31" s="74"/>
      <c r="J31" s="75"/>
      <c r="K31" s="74"/>
      <c r="L31" s="74"/>
      <c r="M31" s="74"/>
      <c r="N31" s="76"/>
    </row>
    <row r="32" spans="2:14" ht="17.25" thickTop="1" thickBot="1" x14ac:dyDescent="0.3">
      <c r="B32" s="61"/>
      <c r="C32" s="61"/>
      <c r="D32" s="61"/>
      <c r="E32" s="61"/>
      <c r="F32" s="61"/>
      <c r="G32" s="61"/>
      <c r="H32" s="62"/>
      <c r="I32" s="61"/>
      <c r="J32" s="62"/>
      <c r="K32" s="61"/>
      <c r="L32" s="61"/>
      <c r="M32" s="61"/>
      <c r="N32" s="61"/>
    </row>
    <row r="33" spans="2:14" ht="16.5" thickTop="1" x14ac:dyDescent="0.25">
      <c r="B33" s="60"/>
      <c r="C33" s="61"/>
      <c r="D33" s="61"/>
      <c r="E33" s="61"/>
      <c r="F33" s="61"/>
      <c r="G33" s="61"/>
      <c r="H33" s="62"/>
      <c r="I33" s="61"/>
      <c r="J33" s="62"/>
      <c r="K33" s="61"/>
      <c r="L33" s="61"/>
      <c r="M33" s="61"/>
      <c r="N33" s="63"/>
    </row>
    <row r="34" spans="2:14" ht="32.25" customHeight="1" x14ac:dyDescent="0.25">
      <c r="B34" s="64"/>
      <c r="D34" s="171" t="s">
        <v>86</v>
      </c>
      <c r="E34" s="172"/>
      <c r="F34" s="172"/>
      <c r="G34" s="172"/>
      <c r="H34" s="124" t="s">
        <v>87</v>
      </c>
      <c r="I34" s="125" t="s">
        <v>62</v>
      </c>
      <c r="J34" s="126" t="s">
        <v>88</v>
      </c>
      <c r="K34" s="127" t="s">
        <v>89</v>
      </c>
      <c r="N34" s="68"/>
    </row>
    <row r="35" spans="2:14" x14ac:dyDescent="0.25">
      <c r="B35" s="64"/>
      <c r="D35" s="173" t="s">
        <v>20</v>
      </c>
      <c r="E35" s="174"/>
      <c r="F35" s="174"/>
      <c r="G35" s="174"/>
      <c r="H35" s="128"/>
      <c r="J35" s="128"/>
      <c r="K35" s="129"/>
      <c r="N35" s="68"/>
    </row>
    <row r="36" spans="2:14" x14ac:dyDescent="0.25">
      <c r="B36" s="64"/>
      <c r="D36" s="173" t="s">
        <v>7</v>
      </c>
      <c r="E36" s="174"/>
      <c r="F36" s="174"/>
      <c r="G36" s="174"/>
      <c r="H36" s="128"/>
      <c r="J36" s="128"/>
      <c r="K36" s="129"/>
      <c r="N36" s="68"/>
    </row>
    <row r="37" spans="2:14" x14ac:dyDescent="0.25">
      <c r="B37" s="64"/>
      <c r="D37" s="173" t="s">
        <v>6</v>
      </c>
      <c r="E37" s="174"/>
      <c r="F37" s="174"/>
      <c r="G37" s="174"/>
      <c r="H37" s="128"/>
      <c r="J37" s="128"/>
      <c r="K37" s="129"/>
      <c r="N37" s="68"/>
    </row>
    <row r="38" spans="2:14" x14ac:dyDescent="0.25">
      <c r="B38" s="64"/>
      <c r="D38" s="173" t="s">
        <v>10</v>
      </c>
      <c r="E38" s="174"/>
      <c r="F38" s="174"/>
      <c r="G38" s="174"/>
      <c r="H38" s="128"/>
      <c r="J38" s="128"/>
      <c r="K38" s="129"/>
      <c r="N38" s="68"/>
    </row>
    <row r="39" spans="2:14" x14ac:dyDescent="0.25">
      <c r="B39" s="64"/>
      <c r="D39" s="173" t="s">
        <v>21</v>
      </c>
      <c r="E39" s="174"/>
      <c r="F39" s="174"/>
      <c r="G39" s="174"/>
      <c r="H39" s="128"/>
      <c r="J39" s="128"/>
      <c r="K39" s="129"/>
      <c r="N39" s="68"/>
    </row>
    <row r="40" spans="2:14" x14ac:dyDescent="0.25">
      <c r="B40" s="64"/>
      <c r="D40" s="173" t="s">
        <v>5</v>
      </c>
      <c r="E40" s="174"/>
      <c r="F40" s="174"/>
      <c r="G40" s="174"/>
      <c r="H40" s="128"/>
      <c r="J40" s="128"/>
      <c r="K40" s="129"/>
      <c r="N40" s="68"/>
    </row>
    <row r="41" spans="2:14" x14ac:dyDescent="0.25">
      <c r="B41" s="64"/>
      <c r="D41" s="173" t="s">
        <v>22</v>
      </c>
      <c r="E41" s="174"/>
      <c r="F41" s="174"/>
      <c r="G41" s="174"/>
      <c r="H41" s="128"/>
      <c r="J41" s="128"/>
      <c r="K41" s="129"/>
      <c r="N41" s="68"/>
    </row>
    <row r="42" spans="2:14" x14ac:dyDescent="0.25">
      <c r="B42" s="64"/>
      <c r="D42" s="173" t="s">
        <v>8</v>
      </c>
      <c r="E42" s="174"/>
      <c r="F42" s="174"/>
      <c r="G42" s="174"/>
      <c r="H42" s="128"/>
      <c r="J42" s="128"/>
      <c r="K42" s="129"/>
      <c r="N42" s="68"/>
    </row>
    <row r="43" spans="2:14" x14ac:dyDescent="0.25">
      <c r="B43" s="64"/>
      <c r="D43" s="173" t="s">
        <v>23</v>
      </c>
      <c r="E43" s="174"/>
      <c r="F43" s="174"/>
      <c r="G43" s="174"/>
      <c r="H43" s="128"/>
      <c r="J43" s="128"/>
      <c r="K43" s="129"/>
      <c r="N43" s="68"/>
    </row>
    <row r="44" spans="2:14" x14ac:dyDescent="0.25">
      <c r="B44" s="64"/>
      <c r="D44" s="173" t="s">
        <v>36</v>
      </c>
      <c r="E44" s="174"/>
      <c r="F44" s="174"/>
      <c r="G44" s="174"/>
      <c r="H44" s="128"/>
      <c r="J44" s="128"/>
      <c r="K44" s="129"/>
      <c r="N44" s="68"/>
    </row>
    <row r="45" spans="2:14" x14ac:dyDescent="0.25">
      <c r="B45" s="64"/>
      <c r="D45" s="173" t="s">
        <v>9</v>
      </c>
      <c r="E45" s="174"/>
      <c r="F45" s="174"/>
      <c r="G45" s="174"/>
      <c r="H45" s="128"/>
      <c r="J45" s="128"/>
      <c r="K45" s="129"/>
      <c r="N45" s="68"/>
    </row>
    <row r="46" spans="2:14" x14ac:dyDescent="0.25">
      <c r="B46" s="64"/>
      <c r="D46" s="173" t="s">
        <v>24</v>
      </c>
      <c r="E46" s="174"/>
      <c r="F46" s="174"/>
      <c r="G46" s="174"/>
      <c r="H46" s="128"/>
      <c r="J46" s="128"/>
      <c r="K46" s="129"/>
      <c r="N46" s="68"/>
    </row>
    <row r="47" spans="2:14" x14ac:dyDescent="0.25">
      <c r="B47" s="64"/>
      <c r="D47" s="173" t="s">
        <v>37</v>
      </c>
      <c r="E47" s="174"/>
      <c r="F47" s="174"/>
      <c r="G47" s="174"/>
      <c r="H47" s="128"/>
      <c r="J47" s="128"/>
      <c r="K47" s="129"/>
      <c r="N47" s="68"/>
    </row>
    <row r="48" spans="2:14" x14ac:dyDescent="0.25">
      <c r="B48" s="64"/>
      <c r="D48" s="178" t="s">
        <v>90</v>
      </c>
      <c r="E48" s="179"/>
      <c r="F48" s="179"/>
      <c r="G48" s="180"/>
      <c r="H48" s="130"/>
      <c r="I48" s="131">
        <f>SUM(I35:I47)</f>
        <v>0</v>
      </c>
      <c r="J48" s="132">
        <f>SUM(J35:J47)</f>
        <v>0</v>
      </c>
      <c r="K48" s="133">
        <f>SUM(K35:K47)</f>
        <v>0</v>
      </c>
      <c r="N48" s="68"/>
    </row>
    <row r="49" spans="2:14" ht="16.5" thickBot="1" x14ac:dyDescent="0.3">
      <c r="B49" s="73"/>
      <c r="C49" s="74"/>
      <c r="D49" s="74"/>
      <c r="E49" s="74"/>
      <c r="F49" s="74"/>
      <c r="G49" s="74"/>
      <c r="H49" s="75"/>
      <c r="I49" s="74"/>
      <c r="J49" s="75"/>
      <c r="K49" s="74"/>
      <c r="L49" s="74"/>
      <c r="M49" s="74"/>
      <c r="N49" s="76"/>
    </row>
    <row r="50" spans="2:14" ht="16.5" thickTop="1" x14ac:dyDescent="0.25">
      <c r="B50" s="64"/>
      <c r="G50" s="134"/>
      <c r="H50" s="135"/>
      <c r="I50" s="134"/>
      <c r="J50" s="135"/>
      <c r="N50" s="68"/>
    </row>
    <row r="51" spans="2:14" ht="15.75" customHeight="1" x14ac:dyDescent="0.25">
      <c r="B51" s="64"/>
      <c r="F51" s="181" t="s">
        <v>91</v>
      </c>
      <c r="G51" s="181"/>
      <c r="H51" s="136" t="s">
        <v>92</v>
      </c>
      <c r="I51" s="124" t="s">
        <v>80</v>
      </c>
      <c r="N51" s="68"/>
    </row>
    <row r="52" spans="2:14" x14ac:dyDescent="0.25">
      <c r="B52" s="64"/>
      <c r="F52" s="182" t="s">
        <v>35</v>
      </c>
      <c r="G52" s="182"/>
      <c r="H52" s="137"/>
      <c r="I52" s="138"/>
      <c r="N52" s="68"/>
    </row>
    <row r="53" spans="2:14" x14ac:dyDescent="0.25">
      <c r="B53" s="64"/>
      <c r="F53" s="175" t="s">
        <v>93</v>
      </c>
      <c r="G53" s="175"/>
      <c r="H53" s="139">
        <f>+D30</f>
        <v>5</v>
      </c>
      <c r="I53" s="140"/>
      <c r="N53" s="68"/>
    </row>
    <row r="54" spans="2:14" x14ac:dyDescent="0.25">
      <c r="B54" s="64"/>
      <c r="F54" s="175" t="s">
        <v>94</v>
      </c>
      <c r="G54" s="175"/>
      <c r="H54" s="141"/>
      <c r="I54" s="140"/>
      <c r="N54" s="68"/>
    </row>
    <row r="55" spans="2:14" x14ac:dyDescent="0.25">
      <c r="B55" s="64"/>
      <c r="F55" s="175" t="s">
        <v>95</v>
      </c>
      <c r="G55" s="175"/>
      <c r="H55" s="141"/>
      <c r="I55" s="140"/>
      <c r="N55" s="68"/>
    </row>
    <row r="56" spans="2:14" x14ac:dyDescent="0.25">
      <c r="B56" s="64"/>
      <c r="F56" s="176" t="s">
        <v>96</v>
      </c>
      <c r="G56" s="176"/>
      <c r="H56" s="142"/>
      <c r="I56" s="143"/>
      <c r="N56" s="68"/>
    </row>
    <row r="57" spans="2:14" x14ac:dyDescent="0.25">
      <c r="B57" s="64"/>
      <c r="F57" s="177" t="s">
        <v>90</v>
      </c>
      <c r="G57" s="177"/>
      <c r="H57" s="144"/>
      <c r="I57" s="130">
        <f>SUM(I52:I56)</f>
        <v>0</v>
      </c>
      <c r="N57" s="68"/>
    </row>
    <row r="58" spans="2:14" ht="16.5" thickBot="1" x14ac:dyDescent="0.3">
      <c r="B58" s="73"/>
      <c r="C58" s="74"/>
      <c r="D58" s="74"/>
      <c r="E58" s="74"/>
      <c r="F58" s="74"/>
      <c r="G58" s="74"/>
      <c r="H58" s="75"/>
      <c r="I58" s="74"/>
      <c r="J58" s="75"/>
      <c r="K58" s="74"/>
      <c r="L58" s="74"/>
      <c r="M58" s="74"/>
      <c r="N58" s="76"/>
    </row>
    <row r="59" spans="2:14" ht="16.5" thickTop="1" x14ac:dyDescent="0.25">
      <c r="I59" s="101"/>
    </row>
  </sheetData>
  <sortState ref="C25:I29">
    <sortCondition ref="C25"/>
  </sortState>
  <mergeCells count="53"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L23:L24"/>
    <mergeCell ref="M23:M24"/>
    <mergeCell ref="C20:D20"/>
    <mergeCell ref="E20:F20"/>
    <mergeCell ref="C23:C24"/>
    <mergeCell ref="D23:D24"/>
    <mergeCell ref="E23:E24"/>
    <mergeCell ref="F23:G23"/>
    <mergeCell ref="D38:G38"/>
    <mergeCell ref="H23:H24"/>
    <mergeCell ref="I23:I24"/>
    <mergeCell ref="J23:J24"/>
    <mergeCell ref="K23:K24"/>
    <mergeCell ref="F30:G30"/>
    <mergeCell ref="D34:G34"/>
    <mergeCell ref="D35:G35"/>
    <mergeCell ref="D36:G36"/>
    <mergeCell ref="D37:G37"/>
    <mergeCell ref="F52:G52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D48:G48"/>
    <mergeCell ref="F51:G51"/>
    <mergeCell ref="F53:G53"/>
    <mergeCell ref="F54:G54"/>
    <mergeCell ref="F55:G55"/>
    <mergeCell ref="F56:G56"/>
    <mergeCell ref="F57:G57"/>
  </mergeCells>
  <conditionalFormatting sqref="M25:M29">
    <cfRule type="cellIs" dxfId="0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topLeftCell="A22" zoomScaleNormal="100" workbookViewId="0">
      <selection activeCell="E33" sqref="E33:F34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6" width="24.7109375" style="13" customWidth="1"/>
    <col min="7" max="7" width="10.85546875" bestFit="1" customWidth="1"/>
    <col min="8" max="8" width="14.42578125" bestFit="1" customWidth="1"/>
    <col min="9" max="9" width="12.85546875" bestFit="1" customWidth="1"/>
  </cols>
  <sheetData>
    <row r="1" spans="2:9" ht="10.5" customHeight="1" thickBot="1" x14ac:dyDescent="0.3"/>
    <row r="2" spans="2:9" ht="33.75" customHeight="1" thickBot="1" x14ac:dyDescent="0.3">
      <c r="B2" s="185"/>
      <c r="C2" s="186"/>
      <c r="D2" s="187"/>
      <c r="E2" s="183" t="s">
        <v>4</v>
      </c>
      <c r="F2" s="184"/>
    </row>
    <row r="3" spans="2:9" ht="18" customHeight="1" thickBot="1" x14ac:dyDescent="0.3">
      <c r="B3" s="188"/>
      <c r="C3" s="189"/>
      <c r="D3" s="190"/>
      <c r="E3" s="49" t="s">
        <v>45</v>
      </c>
      <c r="F3" s="57">
        <v>46148</v>
      </c>
    </row>
    <row r="4" spans="2:9" ht="15.75" thickBot="1" x14ac:dyDescent="0.3">
      <c r="B4" s="3" t="s">
        <v>0</v>
      </c>
      <c r="C4" s="3" t="s">
        <v>1</v>
      </c>
      <c r="D4" s="4" t="s">
        <v>14</v>
      </c>
      <c r="E4" s="5" t="s">
        <v>13</v>
      </c>
      <c r="F4" s="5" t="s">
        <v>12</v>
      </c>
      <c r="G4" s="1"/>
      <c r="H4" s="1"/>
      <c r="I4" s="1"/>
    </row>
    <row r="5" spans="2:9" ht="20.45" customHeight="1" x14ac:dyDescent="0.25">
      <c r="B5" s="102">
        <v>1</v>
      </c>
      <c r="C5" s="14">
        <v>178</v>
      </c>
      <c r="D5" s="200" t="s">
        <v>143</v>
      </c>
      <c r="E5" s="103">
        <v>109.4</v>
      </c>
      <c r="F5" s="103">
        <v>109.4</v>
      </c>
    </row>
    <row r="6" spans="2:9" ht="20.45" customHeight="1" x14ac:dyDescent="0.25">
      <c r="B6" s="7">
        <f>+B5+1</f>
        <v>2</v>
      </c>
      <c r="C6" s="17">
        <v>178</v>
      </c>
      <c r="D6" s="201" t="s">
        <v>143</v>
      </c>
      <c r="E6" s="51">
        <v>123.2</v>
      </c>
      <c r="F6" s="51">
        <v>123.8</v>
      </c>
    </row>
    <row r="7" spans="2:9" ht="20.45" customHeight="1" x14ac:dyDescent="0.25">
      <c r="B7" s="7">
        <f t="shared" ref="B7:B34" si="0">+B6+1</f>
        <v>3</v>
      </c>
      <c r="C7" s="17">
        <v>178</v>
      </c>
      <c r="D7" s="201" t="s">
        <v>143</v>
      </c>
      <c r="E7" s="51">
        <v>102.1</v>
      </c>
      <c r="F7" s="51">
        <v>101.5</v>
      </c>
    </row>
    <row r="8" spans="2:9" ht="20.45" customHeight="1" x14ac:dyDescent="0.25">
      <c r="B8" s="7">
        <f t="shared" si="0"/>
        <v>4</v>
      </c>
      <c r="C8" s="17">
        <v>178</v>
      </c>
      <c r="D8" s="201" t="s">
        <v>143</v>
      </c>
      <c r="E8" s="51">
        <v>121.9</v>
      </c>
      <c r="F8" s="51">
        <v>121</v>
      </c>
    </row>
    <row r="9" spans="2:9" ht="20.45" customHeight="1" x14ac:dyDescent="0.25">
      <c r="B9" s="7">
        <f t="shared" si="0"/>
        <v>5</v>
      </c>
      <c r="C9" s="17">
        <v>178</v>
      </c>
      <c r="D9" s="201" t="s">
        <v>143</v>
      </c>
      <c r="E9" s="51">
        <v>136</v>
      </c>
      <c r="F9" s="51">
        <v>134.5</v>
      </c>
    </row>
    <row r="10" spans="2:9" ht="20.45" customHeight="1" x14ac:dyDescent="0.25">
      <c r="B10" s="7">
        <f t="shared" si="0"/>
        <v>6</v>
      </c>
      <c r="C10" s="17">
        <v>178</v>
      </c>
      <c r="D10" s="201" t="s">
        <v>143</v>
      </c>
      <c r="E10" s="51">
        <v>112.3</v>
      </c>
      <c r="F10" s="51">
        <v>112.2</v>
      </c>
    </row>
    <row r="11" spans="2:9" ht="20.45" customHeight="1" x14ac:dyDescent="0.25">
      <c r="B11" s="7">
        <f t="shared" si="0"/>
        <v>7</v>
      </c>
      <c r="C11" s="17">
        <v>178</v>
      </c>
      <c r="D11" s="201" t="s">
        <v>143</v>
      </c>
      <c r="E11" s="51">
        <v>122.9</v>
      </c>
      <c r="F11" s="51">
        <v>121.1</v>
      </c>
    </row>
    <row r="12" spans="2:9" ht="20.45" customHeight="1" x14ac:dyDescent="0.25">
      <c r="B12" s="7">
        <f t="shared" si="0"/>
        <v>8</v>
      </c>
      <c r="C12" s="17">
        <v>178</v>
      </c>
      <c r="D12" s="201" t="s">
        <v>143</v>
      </c>
      <c r="E12" s="51">
        <v>97.4</v>
      </c>
      <c r="F12" s="51">
        <v>98.1</v>
      </c>
    </row>
    <row r="13" spans="2:9" ht="20.45" customHeight="1" x14ac:dyDescent="0.25">
      <c r="B13" s="7">
        <f t="shared" si="0"/>
        <v>9</v>
      </c>
      <c r="C13" s="17">
        <v>178</v>
      </c>
      <c r="D13" s="201" t="s">
        <v>143</v>
      </c>
      <c r="E13" s="51">
        <v>91.7</v>
      </c>
      <c r="F13" s="51">
        <v>98.8</v>
      </c>
    </row>
    <row r="14" spans="2:9" ht="20.45" customHeight="1" x14ac:dyDescent="0.25">
      <c r="B14" s="7">
        <f t="shared" si="0"/>
        <v>10</v>
      </c>
      <c r="C14" s="17">
        <v>178</v>
      </c>
      <c r="D14" s="201" t="s">
        <v>143</v>
      </c>
      <c r="E14" s="51">
        <v>109.8</v>
      </c>
      <c r="F14" s="51">
        <v>107.1</v>
      </c>
    </row>
    <row r="15" spans="2:9" ht="20.45" customHeight="1" x14ac:dyDescent="0.25">
      <c r="B15" s="7">
        <f t="shared" si="0"/>
        <v>11</v>
      </c>
      <c r="C15" s="17">
        <v>178</v>
      </c>
      <c r="D15" s="201" t="s">
        <v>143</v>
      </c>
      <c r="E15" s="52">
        <v>106.8</v>
      </c>
      <c r="F15" s="52">
        <v>106.6</v>
      </c>
    </row>
    <row r="16" spans="2:9" ht="20.45" customHeight="1" x14ac:dyDescent="0.25">
      <c r="B16" s="7">
        <f t="shared" si="0"/>
        <v>12</v>
      </c>
      <c r="C16" s="17">
        <v>178</v>
      </c>
      <c r="D16" s="201" t="s">
        <v>143</v>
      </c>
      <c r="E16" s="52">
        <v>107</v>
      </c>
      <c r="F16" s="52">
        <v>107.8</v>
      </c>
    </row>
    <row r="17" spans="2:6" ht="20.45" customHeight="1" x14ac:dyDescent="0.25">
      <c r="B17" s="7">
        <f t="shared" si="0"/>
        <v>13</v>
      </c>
      <c r="C17" s="17">
        <v>178</v>
      </c>
      <c r="D17" s="201" t="s">
        <v>143</v>
      </c>
      <c r="E17" s="51">
        <v>101.3</v>
      </c>
      <c r="F17" s="51">
        <v>100.8</v>
      </c>
    </row>
    <row r="18" spans="2:6" ht="20.45" customHeight="1" x14ac:dyDescent="0.25">
      <c r="B18" s="7">
        <f t="shared" si="0"/>
        <v>14</v>
      </c>
      <c r="C18" s="17">
        <v>178</v>
      </c>
      <c r="D18" s="201" t="s">
        <v>143</v>
      </c>
      <c r="E18" s="51">
        <v>129.30000000000001</v>
      </c>
      <c r="F18" s="51">
        <v>128.6</v>
      </c>
    </row>
    <row r="19" spans="2:6" ht="20.45" customHeight="1" x14ac:dyDescent="0.25">
      <c r="B19" s="7">
        <f t="shared" si="0"/>
        <v>15</v>
      </c>
      <c r="C19" s="17">
        <v>178</v>
      </c>
      <c r="D19" s="201" t="s">
        <v>143</v>
      </c>
      <c r="E19" s="51">
        <v>121.2</v>
      </c>
      <c r="F19" s="51">
        <v>122.2</v>
      </c>
    </row>
    <row r="20" spans="2:6" ht="20.45" customHeight="1" x14ac:dyDescent="0.25">
      <c r="B20" s="7">
        <f t="shared" si="0"/>
        <v>16</v>
      </c>
      <c r="C20" s="17">
        <v>178</v>
      </c>
      <c r="D20" s="201" t="s">
        <v>143</v>
      </c>
      <c r="E20" s="51">
        <v>97.2</v>
      </c>
      <c r="F20" s="51">
        <v>96.9</v>
      </c>
    </row>
    <row r="21" spans="2:6" ht="20.45" customHeight="1" x14ac:dyDescent="0.25">
      <c r="B21" s="7">
        <f t="shared" si="0"/>
        <v>17</v>
      </c>
      <c r="C21" s="17">
        <v>178</v>
      </c>
      <c r="D21" s="201" t="s">
        <v>143</v>
      </c>
      <c r="E21" s="51">
        <v>100.7</v>
      </c>
      <c r="F21" s="51">
        <v>100.3</v>
      </c>
    </row>
    <row r="22" spans="2:6" ht="20.45" customHeight="1" x14ac:dyDescent="0.25">
      <c r="B22" s="7">
        <f t="shared" si="0"/>
        <v>18</v>
      </c>
      <c r="C22" s="17">
        <v>178</v>
      </c>
      <c r="D22" s="201" t="s">
        <v>143</v>
      </c>
      <c r="E22" s="51">
        <v>103</v>
      </c>
      <c r="F22" s="51">
        <v>102.2</v>
      </c>
    </row>
    <row r="23" spans="2:6" ht="20.45" customHeight="1" x14ac:dyDescent="0.25">
      <c r="B23" s="7">
        <f t="shared" si="0"/>
        <v>19</v>
      </c>
      <c r="C23" s="17">
        <v>178</v>
      </c>
      <c r="D23" s="201" t="s">
        <v>143</v>
      </c>
      <c r="E23" s="51">
        <v>107.3</v>
      </c>
      <c r="F23" s="51">
        <v>106</v>
      </c>
    </row>
    <row r="24" spans="2:6" ht="20.45" customHeight="1" x14ac:dyDescent="0.25">
      <c r="B24" s="7">
        <f t="shared" si="0"/>
        <v>20</v>
      </c>
      <c r="C24" s="17">
        <v>178</v>
      </c>
      <c r="D24" s="201" t="s">
        <v>143</v>
      </c>
      <c r="E24" s="51">
        <v>110.3</v>
      </c>
      <c r="F24" s="51">
        <v>109.5</v>
      </c>
    </row>
    <row r="25" spans="2:6" ht="20.45" customHeight="1" x14ac:dyDescent="0.25">
      <c r="B25" s="7">
        <f t="shared" si="0"/>
        <v>21</v>
      </c>
      <c r="C25" s="15">
        <v>179</v>
      </c>
      <c r="D25" s="201" t="s">
        <v>143</v>
      </c>
      <c r="E25" s="51">
        <v>116.4</v>
      </c>
      <c r="F25" s="51">
        <v>115.8</v>
      </c>
    </row>
    <row r="26" spans="2:6" ht="20.45" customHeight="1" x14ac:dyDescent="0.25">
      <c r="B26" s="7">
        <f t="shared" si="0"/>
        <v>22</v>
      </c>
      <c r="C26" s="15">
        <v>179</v>
      </c>
      <c r="D26" s="201" t="s">
        <v>144</v>
      </c>
      <c r="E26" s="51">
        <v>112</v>
      </c>
      <c r="F26" s="51">
        <v>111</v>
      </c>
    </row>
    <row r="27" spans="2:6" ht="20.45" customHeight="1" x14ac:dyDescent="0.25">
      <c r="B27" s="7">
        <f t="shared" si="0"/>
        <v>23</v>
      </c>
      <c r="C27" s="15">
        <v>179</v>
      </c>
      <c r="D27" s="201" t="s">
        <v>144</v>
      </c>
      <c r="E27" s="51">
        <v>103.9</v>
      </c>
      <c r="F27" s="51">
        <v>104.8</v>
      </c>
    </row>
    <row r="28" spans="2:6" ht="20.45" customHeight="1" x14ac:dyDescent="0.25">
      <c r="B28" s="7">
        <f t="shared" si="0"/>
        <v>24</v>
      </c>
      <c r="C28" s="15">
        <v>179</v>
      </c>
      <c r="D28" s="201" t="s">
        <v>144</v>
      </c>
      <c r="E28" s="51">
        <v>97.1</v>
      </c>
      <c r="F28" s="51">
        <v>97.5</v>
      </c>
    </row>
    <row r="29" spans="2:6" ht="20.45" customHeight="1" x14ac:dyDescent="0.25">
      <c r="B29" s="7">
        <f t="shared" si="0"/>
        <v>25</v>
      </c>
      <c r="C29" s="15">
        <v>179</v>
      </c>
      <c r="D29" s="201" t="s">
        <v>144</v>
      </c>
      <c r="E29" s="51">
        <v>96.2</v>
      </c>
      <c r="F29" s="51">
        <v>96</v>
      </c>
    </row>
    <row r="30" spans="2:6" ht="20.45" customHeight="1" x14ac:dyDescent="0.25">
      <c r="B30" s="7">
        <f t="shared" si="0"/>
        <v>26</v>
      </c>
      <c r="C30" s="15">
        <v>176</v>
      </c>
      <c r="D30" s="201" t="s">
        <v>145</v>
      </c>
      <c r="E30" s="51">
        <v>82.3</v>
      </c>
      <c r="F30" s="51">
        <v>83.9</v>
      </c>
    </row>
    <row r="31" spans="2:6" ht="20.45" customHeight="1" x14ac:dyDescent="0.25">
      <c r="B31" s="7">
        <f t="shared" si="0"/>
        <v>27</v>
      </c>
      <c r="C31" s="15">
        <v>176</v>
      </c>
      <c r="D31" s="201" t="s">
        <v>145</v>
      </c>
      <c r="E31" s="51">
        <v>79.900000000000006</v>
      </c>
      <c r="F31" s="51">
        <v>81.7</v>
      </c>
    </row>
    <row r="32" spans="2:6" ht="20.45" customHeight="1" x14ac:dyDescent="0.25">
      <c r="B32" s="7">
        <f t="shared" si="0"/>
        <v>28</v>
      </c>
      <c r="C32" s="15">
        <v>176</v>
      </c>
      <c r="D32" s="201" t="s">
        <v>145</v>
      </c>
      <c r="E32" s="51">
        <v>100.4</v>
      </c>
      <c r="F32" s="51">
        <v>99.9</v>
      </c>
    </row>
    <row r="33" spans="2:6" ht="20.45" customHeight="1" x14ac:dyDescent="0.25">
      <c r="B33" s="7">
        <f t="shared" si="0"/>
        <v>29</v>
      </c>
      <c r="C33" s="15">
        <v>177</v>
      </c>
      <c r="D33" s="201" t="s">
        <v>145</v>
      </c>
      <c r="E33" s="51">
        <v>87.5</v>
      </c>
      <c r="F33" s="51">
        <v>88.3</v>
      </c>
    </row>
    <row r="34" spans="2:6" ht="20.45" customHeight="1" thickBot="1" x14ac:dyDescent="0.3">
      <c r="B34" s="8">
        <f t="shared" si="0"/>
        <v>30</v>
      </c>
      <c r="C34" s="16">
        <v>177</v>
      </c>
      <c r="D34" s="202" t="s">
        <v>145</v>
      </c>
      <c r="E34" s="53">
        <v>91.5</v>
      </c>
      <c r="F34" s="53">
        <v>92</v>
      </c>
    </row>
    <row r="35" spans="2:6" x14ac:dyDescent="0.25">
      <c r="B35" s="28" t="s">
        <v>49</v>
      </c>
      <c r="C35" s="30" t="s">
        <v>34</v>
      </c>
      <c r="D35" s="29" t="s">
        <v>50</v>
      </c>
      <c r="E35" s="30" t="s">
        <v>34</v>
      </c>
      <c r="F35" s="29" t="s">
        <v>50</v>
      </c>
    </row>
    <row r="36" spans="2:6" x14ac:dyDescent="0.25">
      <c r="B36" s="28">
        <v>178</v>
      </c>
      <c r="C36" s="30">
        <v>20</v>
      </c>
      <c r="D36" s="29" t="s">
        <v>74</v>
      </c>
      <c r="E36" s="30"/>
      <c r="F36" s="29"/>
    </row>
    <row r="37" spans="2:6" x14ac:dyDescent="0.25">
      <c r="B37" s="28">
        <v>179</v>
      </c>
      <c r="C37" s="30">
        <v>4</v>
      </c>
      <c r="D37" s="30" t="s">
        <v>97</v>
      </c>
      <c r="E37" s="29">
        <v>1</v>
      </c>
      <c r="F37" s="29" t="s">
        <v>74</v>
      </c>
    </row>
    <row r="38" spans="2:6" x14ac:dyDescent="0.25">
      <c r="B38" s="28">
        <v>176</v>
      </c>
      <c r="C38" s="30">
        <v>3</v>
      </c>
      <c r="D38" s="30" t="s">
        <v>98</v>
      </c>
      <c r="E38" s="29"/>
      <c r="F38" s="29"/>
    </row>
    <row r="39" spans="2:6" x14ac:dyDescent="0.25">
      <c r="B39" s="28">
        <v>177</v>
      </c>
      <c r="C39" s="30">
        <v>2</v>
      </c>
      <c r="D39" s="30" t="s">
        <v>98</v>
      </c>
      <c r="E39" s="29"/>
      <c r="F39" s="29"/>
    </row>
  </sheetData>
  <mergeCells count="2">
    <mergeCell ref="E2:F2"/>
    <mergeCell ref="B2:D3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zoomScaleNormal="100" workbookViewId="0">
      <selection activeCell="D5" sqref="D5:D34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5" width="47" style="13" customWidth="1"/>
    <col min="6" max="6" width="10.85546875" bestFit="1" customWidth="1"/>
    <col min="7" max="7" width="14.42578125" bestFit="1" customWidth="1"/>
    <col min="8" max="8" width="12.85546875" bestFit="1" customWidth="1"/>
  </cols>
  <sheetData>
    <row r="1" spans="2:8" ht="10.5" customHeight="1" thickBot="1" x14ac:dyDescent="0.3"/>
    <row r="2" spans="2:8" ht="33.75" customHeight="1" thickBot="1" x14ac:dyDescent="0.3">
      <c r="B2" s="185"/>
      <c r="C2" s="186"/>
      <c r="D2" s="187"/>
      <c r="E2" s="54" t="s">
        <v>4</v>
      </c>
    </row>
    <row r="3" spans="2:8" ht="18" customHeight="1" thickBot="1" x14ac:dyDescent="0.3">
      <c r="B3" s="188"/>
      <c r="C3" s="189"/>
      <c r="D3" s="190"/>
      <c r="E3" s="55" t="s">
        <v>99</v>
      </c>
    </row>
    <row r="4" spans="2:8" ht="15.75" thickBot="1" x14ac:dyDescent="0.3">
      <c r="B4" s="3" t="s">
        <v>42</v>
      </c>
      <c r="C4" s="3" t="s">
        <v>1</v>
      </c>
      <c r="D4" s="199" t="s">
        <v>14</v>
      </c>
      <c r="E4" s="5" t="s">
        <v>43</v>
      </c>
      <c r="F4" s="1"/>
      <c r="G4" s="1"/>
      <c r="H4" s="1"/>
    </row>
    <row r="5" spans="2:8" ht="20.45" customHeight="1" x14ac:dyDescent="0.25">
      <c r="B5" s="6">
        <v>1</v>
      </c>
      <c r="C5" s="17">
        <v>178</v>
      </c>
      <c r="D5" s="200" t="s">
        <v>143</v>
      </c>
      <c r="E5" s="50"/>
    </row>
    <row r="6" spans="2:8" ht="20.45" customHeight="1" x14ac:dyDescent="0.25">
      <c r="B6" s="7">
        <f>+B5+1</f>
        <v>2</v>
      </c>
      <c r="C6" s="17">
        <v>178</v>
      </c>
      <c r="D6" s="201" t="s">
        <v>143</v>
      </c>
      <c r="E6" s="51"/>
    </row>
    <row r="7" spans="2:8" ht="20.45" customHeight="1" x14ac:dyDescent="0.25">
      <c r="B7" s="7">
        <f t="shared" ref="B7:B33" si="0">+B6+1</f>
        <v>3</v>
      </c>
      <c r="C7" s="17">
        <v>178</v>
      </c>
      <c r="D7" s="201" t="s">
        <v>143</v>
      </c>
      <c r="E7" s="51"/>
    </row>
    <row r="8" spans="2:8" ht="20.45" customHeight="1" x14ac:dyDescent="0.25">
      <c r="B8" s="7">
        <f t="shared" si="0"/>
        <v>4</v>
      </c>
      <c r="C8" s="17">
        <v>178</v>
      </c>
      <c r="D8" s="201" t="s">
        <v>143</v>
      </c>
      <c r="E8" s="51"/>
    </row>
    <row r="9" spans="2:8" ht="20.45" customHeight="1" x14ac:dyDescent="0.25">
      <c r="B9" s="7">
        <f t="shared" si="0"/>
        <v>5</v>
      </c>
      <c r="C9" s="17">
        <v>178</v>
      </c>
      <c r="D9" s="201" t="s">
        <v>143</v>
      </c>
      <c r="E9" s="51"/>
    </row>
    <row r="10" spans="2:8" ht="20.45" customHeight="1" x14ac:dyDescent="0.25">
      <c r="B10" s="7">
        <f t="shared" si="0"/>
        <v>6</v>
      </c>
      <c r="C10" s="17">
        <v>178</v>
      </c>
      <c r="D10" s="201" t="s">
        <v>143</v>
      </c>
      <c r="E10" s="51"/>
    </row>
    <row r="11" spans="2:8" ht="20.45" customHeight="1" x14ac:dyDescent="0.25">
      <c r="B11" s="7">
        <f t="shared" si="0"/>
        <v>7</v>
      </c>
      <c r="C11" s="17">
        <v>178</v>
      </c>
      <c r="D11" s="201" t="s">
        <v>143</v>
      </c>
      <c r="E11" s="51"/>
    </row>
    <row r="12" spans="2:8" ht="20.45" customHeight="1" x14ac:dyDescent="0.25">
      <c r="B12" s="7">
        <f t="shared" si="0"/>
        <v>8</v>
      </c>
      <c r="C12" s="17">
        <v>178</v>
      </c>
      <c r="D12" s="201" t="s">
        <v>143</v>
      </c>
      <c r="E12" s="51"/>
    </row>
    <row r="13" spans="2:8" ht="20.45" customHeight="1" x14ac:dyDescent="0.25">
      <c r="B13" s="7">
        <f t="shared" si="0"/>
        <v>9</v>
      </c>
      <c r="C13" s="17">
        <v>178</v>
      </c>
      <c r="D13" s="201" t="s">
        <v>143</v>
      </c>
      <c r="E13" s="51"/>
    </row>
    <row r="14" spans="2:8" ht="20.45" customHeight="1" x14ac:dyDescent="0.25">
      <c r="B14" s="7">
        <f t="shared" si="0"/>
        <v>10</v>
      </c>
      <c r="C14" s="17">
        <v>178</v>
      </c>
      <c r="D14" s="201" t="s">
        <v>143</v>
      </c>
      <c r="E14" s="51"/>
    </row>
    <row r="15" spans="2:8" ht="20.45" customHeight="1" x14ac:dyDescent="0.25">
      <c r="B15" s="7">
        <f t="shared" si="0"/>
        <v>11</v>
      </c>
      <c r="C15" s="17">
        <v>178</v>
      </c>
      <c r="D15" s="201" t="s">
        <v>143</v>
      </c>
      <c r="E15" s="52"/>
    </row>
    <row r="16" spans="2:8" ht="20.45" customHeight="1" x14ac:dyDescent="0.25">
      <c r="B16" s="7">
        <f t="shared" si="0"/>
        <v>12</v>
      </c>
      <c r="C16" s="17">
        <v>178</v>
      </c>
      <c r="D16" s="201" t="s">
        <v>143</v>
      </c>
      <c r="E16" s="52"/>
    </row>
    <row r="17" spans="2:5" ht="20.45" customHeight="1" x14ac:dyDescent="0.25">
      <c r="B17" s="7">
        <f t="shared" si="0"/>
        <v>13</v>
      </c>
      <c r="C17" s="17">
        <v>178</v>
      </c>
      <c r="D17" s="201" t="s">
        <v>143</v>
      </c>
      <c r="E17" s="51"/>
    </row>
    <row r="18" spans="2:5" ht="20.45" customHeight="1" x14ac:dyDescent="0.25">
      <c r="B18" s="7">
        <f t="shared" si="0"/>
        <v>14</v>
      </c>
      <c r="C18" s="17">
        <v>178</v>
      </c>
      <c r="D18" s="201" t="s">
        <v>143</v>
      </c>
      <c r="E18" s="51"/>
    </row>
    <row r="19" spans="2:5" ht="20.45" customHeight="1" x14ac:dyDescent="0.25">
      <c r="B19" s="7">
        <f t="shared" si="0"/>
        <v>15</v>
      </c>
      <c r="C19" s="17">
        <v>178</v>
      </c>
      <c r="D19" s="201" t="s">
        <v>143</v>
      </c>
      <c r="E19" s="51"/>
    </row>
    <row r="20" spans="2:5" ht="20.45" customHeight="1" x14ac:dyDescent="0.25">
      <c r="B20" s="7">
        <f t="shared" si="0"/>
        <v>16</v>
      </c>
      <c r="C20" s="17">
        <v>178</v>
      </c>
      <c r="D20" s="201" t="s">
        <v>143</v>
      </c>
      <c r="E20" s="51"/>
    </row>
    <row r="21" spans="2:5" ht="20.45" customHeight="1" x14ac:dyDescent="0.25">
      <c r="B21" s="7">
        <f t="shared" si="0"/>
        <v>17</v>
      </c>
      <c r="C21" s="17">
        <v>178</v>
      </c>
      <c r="D21" s="201" t="s">
        <v>143</v>
      </c>
      <c r="E21" s="51"/>
    </row>
    <row r="22" spans="2:5" ht="20.45" customHeight="1" x14ac:dyDescent="0.25">
      <c r="B22" s="7">
        <f t="shared" si="0"/>
        <v>18</v>
      </c>
      <c r="C22" s="17">
        <v>178</v>
      </c>
      <c r="D22" s="201" t="s">
        <v>143</v>
      </c>
      <c r="E22" s="51"/>
    </row>
    <row r="23" spans="2:5" ht="20.45" customHeight="1" x14ac:dyDescent="0.25">
      <c r="B23" s="7">
        <f t="shared" si="0"/>
        <v>19</v>
      </c>
      <c r="C23" s="17">
        <v>178</v>
      </c>
      <c r="D23" s="201" t="s">
        <v>143</v>
      </c>
      <c r="E23" s="51"/>
    </row>
    <row r="24" spans="2:5" ht="20.45" customHeight="1" x14ac:dyDescent="0.25">
      <c r="B24" s="7">
        <f t="shared" si="0"/>
        <v>20</v>
      </c>
      <c r="C24" s="17">
        <v>178</v>
      </c>
      <c r="D24" s="201" t="s">
        <v>143</v>
      </c>
      <c r="E24" s="51"/>
    </row>
    <row r="25" spans="2:5" ht="20.45" customHeight="1" x14ac:dyDescent="0.25">
      <c r="B25" s="7">
        <f t="shared" si="0"/>
        <v>21</v>
      </c>
      <c r="C25" s="15">
        <v>179</v>
      </c>
      <c r="D25" s="201" t="s">
        <v>143</v>
      </c>
      <c r="E25" s="51"/>
    </row>
    <row r="26" spans="2:5" ht="20.45" customHeight="1" x14ac:dyDescent="0.25">
      <c r="B26" s="7">
        <f t="shared" si="0"/>
        <v>22</v>
      </c>
      <c r="C26" s="15">
        <v>179</v>
      </c>
      <c r="D26" s="201" t="s">
        <v>144</v>
      </c>
      <c r="E26" s="51"/>
    </row>
    <row r="27" spans="2:5" ht="20.45" customHeight="1" x14ac:dyDescent="0.25">
      <c r="B27" s="7">
        <f t="shared" si="0"/>
        <v>23</v>
      </c>
      <c r="C27" s="15">
        <v>179</v>
      </c>
      <c r="D27" s="201" t="s">
        <v>144</v>
      </c>
      <c r="E27" s="51"/>
    </row>
    <row r="28" spans="2:5" ht="20.45" customHeight="1" x14ac:dyDescent="0.25">
      <c r="B28" s="7">
        <f t="shared" si="0"/>
        <v>24</v>
      </c>
      <c r="C28" s="15">
        <v>179</v>
      </c>
      <c r="D28" s="201" t="s">
        <v>144</v>
      </c>
      <c r="E28" s="51"/>
    </row>
    <row r="29" spans="2:5" ht="20.45" customHeight="1" x14ac:dyDescent="0.25">
      <c r="B29" s="7">
        <f t="shared" si="0"/>
        <v>25</v>
      </c>
      <c r="C29" s="15">
        <v>179</v>
      </c>
      <c r="D29" s="201" t="s">
        <v>144</v>
      </c>
      <c r="E29" s="51"/>
    </row>
    <row r="30" spans="2:5" ht="20.45" customHeight="1" x14ac:dyDescent="0.25">
      <c r="B30" s="7">
        <f t="shared" si="0"/>
        <v>26</v>
      </c>
      <c r="C30" s="15">
        <v>176</v>
      </c>
      <c r="D30" s="201" t="s">
        <v>145</v>
      </c>
      <c r="E30" s="51"/>
    </row>
    <row r="31" spans="2:5" ht="20.45" customHeight="1" x14ac:dyDescent="0.25">
      <c r="B31" s="7">
        <f t="shared" si="0"/>
        <v>27</v>
      </c>
      <c r="C31" s="15">
        <v>176</v>
      </c>
      <c r="D31" s="201" t="s">
        <v>145</v>
      </c>
      <c r="E31" s="51"/>
    </row>
    <row r="32" spans="2:5" ht="20.45" customHeight="1" x14ac:dyDescent="0.25">
      <c r="B32" s="7">
        <f t="shared" si="0"/>
        <v>28</v>
      </c>
      <c r="C32" s="15">
        <v>176</v>
      </c>
      <c r="D32" s="201" t="s">
        <v>145</v>
      </c>
      <c r="E32" s="51"/>
    </row>
    <row r="33" spans="2:5" ht="20.45" customHeight="1" x14ac:dyDescent="0.25">
      <c r="B33" s="7">
        <f t="shared" si="0"/>
        <v>29</v>
      </c>
      <c r="C33" s="15">
        <v>177</v>
      </c>
      <c r="D33" s="201" t="s">
        <v>145</v>
      </c>
      <c r="E33" s="51"/>
    </row>
    <row r="34" spans="2:5" ht="20.45" customHeight="1" thickBot="1" x14ac:dyDescent="0.3">
      <c r="B34" s="8">
        <f>+B33+1</f>
        <v>30</v>
      </c>
      <c r="C34" s="15">
        <v>177</v>
      </c>
      <c r="D34" s="202" t="s">
        <v>145</v>
      </c>
      <c r="E34" s="53"/>
    </row>
    <row r="35" spans="2:5" ht="20.45" customHeight="1" x14ac:dyDescent="0.25"/>
  </sheetData>
  <mergeCells count="1">
    <mergeCell ref="B2:D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0"/>
  <sheetViews>
    <sheetView view="pageBreakPreview" zoomScale="60" zoomScaleNormal="100" workbookViewId="0">
      <selection activeCell="C23" sqref="C23"/>
    </sheetView>
  </sheetViews>
  <sheetFormatPr baseColWidth="10" defaultRowHeight="15" x14ac:dyDescent="0.25"/>
  <cols>
    <col min="2" max="2" width="18.28515625" bestFit="1" customWidth="1"/>
    <col min="3" max="3" width="28.7109375" bestFit="1" customWidth="1"/>
    <col min="4" max="4" width="35.140625" bestFit="1" customWidth="1"/>
    <col min="5" max="5" width="69.42578125" customWidth="1"/>
    <col min="6" max="6" width="14.42578125" style="27" bestFit="1" customWidth="1"/>
    <col min="7" max="8" width="14.42578125" bestFit="1" customWidth="1"/>
  </cols>
  <sheetData>
    <row r="1" spans="2:6" x14ac:dyDescent="0.25">
      <c r="C1" s="31" t="s">
        <v>46</v>
      </c>
      <c r="D1" s="32">
        <v>46148</v>
      </c>
    </row>
    <row r="2" spans="2:6" x14ac:dyDescent="0.25">
      <c r="C2" s="33" t="s">
        <v>47</v>
      </c>
      <c r="D2" s="30">
        <v>176</v>
      </c>
    </row>
    <row r="3" spans="2:6" x14ac:dyDescent="0.25">
      <c r="C3" s="34" t="s">
        <v>51</v>
      </c>
      <c r="D3" s="35"/>
    </row>
    <row r="4" spans="2:6" ht="15.75" x14ac:dyDescent="0.25">
      <c r="B4" s="36" t="s">
        <v>16</v>
      </c>
      <c r="C4" s="36" t="s">
        <v>15</v>
      </c>
      <c r="D4" s="36" t="s">
        <v>17</v>
      </c>
      <c r="E4" s="37" t="s">
        <v>18</v>
      </c>
      <c r="F4" s="38" t="s">
        <v>19</v>
      </c>
    </row>
    <row r="5" spans="2:6" ht="26.1" customHeight="1" x14ac:dyDescent="0.25">
      <c r="B5" s="194" t="s">
        <v>100</v>
      </c>
      <c r="C5" s="39" t="s">
        <v>20</v>
      </c>
      <c r="D5" s="28">
        <v>5.7</v>
      </c>
      <c r="E5" s="40"/>
      <c r="F5" s="41"/>
    </row>
    <row r="6" spans="2:6" ht="26.1" customHeight="1" x14ac:dyDescent="0.25">
      <c r="B6" s="195"/>
      <c r="C6" s="39" t="s">
        <v>7</v>
      </c>
      <c r="D6" s="28">
        <v>3</v>
      </c>
      <c r="E6" s="40"/>
      <c r="F6" s="41"/>
    </row>
    <row r="7" spans="2:6" ht="26.1" customHeight="1" x14ac:dyDescent="0.25">
      <c r="B7" s="195"/>
      <c r="C7" s="39" t="s">
        <v>6</v>
      </c>
      <c r="D7" s="28">
        <v>3</v>
      </c>
      <c r="E7" s="40"/>
      <c r="F7" s="41"/>
    </row>
    <row r="8" spans="2:6" ht="26.1" customHeight="1" x14ac:dyDescent="0.25">
      <c r="B8" s="195"/>
      <c r="C8" s="39" t="s">
        <v>10</v>
      </c>
      <c r="D8" s="28">
        <v>3</v>
      </c>
      <c r="E8" s="40"/>
      <c r="F8" s="41"/>
    </row>
    <row r="9" spans="2:6" ht="26.1" customHeight="1" x14ac:dyDescent="0.25">
      <c r="B9" s="195"/>
      <c r="C9" s="39" t="s">
        <v>21</v>
      </c>
      <c r="D9" s="28">
        <v>1.78</v>
      </c>
      <c r="E9" s="40"/>
      <c r="F9" s="41"/>
    </row>
    <row r="10" spans="2:6" ht="26.1" customHeight="1" x14ac:dyDescent="0.25">
      <c r="B10" s="195"/>
      <c r="C10" s="39" t="s">
        <v>5</v>
      </c>
      <c r="D10" s="28">
        <v>6</v>
      </c>
      <c r="E10" s="40"/>
      <c r="F10" s="41"/>
    </row>
    <row r="11" spans="2:6" ht="26.1" customHeight="1" x14ac:dyDescent="0.25">
      <c r="B11" s="195"/>
      <c r="C11" s="39" t="s">
        <v>22</v>
      </c>
      <c r="D11" s="28">
        <v>12</v>
      </c>
      <c r="E11" s="40"/>
      <c r="F11" s="41"/>
    </row>
    <row r="12" spans="2:6" ht="26.1" customHeight="1" x14ac:dyDescent="0.25">
      <c r="B12" s="195"/>
      <c r="C12" s="39" t="s">
        <v>8</v>
      </c>
      <c r="D12" s="28">
        <v>3</v>
      </c>
      <c r="E12" s="40"/>
      <c r="F12" s="41"/>
    </row>
    <row r="13" spans="2:6" ht="26.1" customHeight="1" x14ac:dyDescent="0.25">
      <c r="B13" s="195"/>
      <c r="C13" s="39" t="s">
        <v>23</v>
      </c>
      <c r="D13" s="28">
        <v>3</v>
      </c>
      <c r="E13" s="40"/>
      <c r="F13" s="41"/>
    </row>
    <row r="14" spans="2:6" ht="26.1" customHeight="1" x14ac:dyDescent="0.25">
      <c r="B14" s="195"/>
      <c r="C14" s="39" t="s">
        <v>36</v>
      </c>
      <c r="D14" s="28">
        <v>300</v>
      </c>
      <c r="E14" s="40"/>
      <c r="F14" s="41"/>
    </row>
    <row r="15" spans="2:6" ht="26.1" customHeight="1" x14ac:dyDescent="0.25">
      <c r="B15" s="195"/>
      <c r="C15" s="39" t="s">
        <v>9</v>
      </c>
      <c r="D15" s="28">
        <v>3</v>
      </c>
      <c r="E15" s="40"/>
      <c r="F15" s="41"/>
    </row>
    <row r="16" spans="2:6" ht="26.1" customHeight="1" x14ac:dyDescent="0.25">
      <c r="B16" s="195"/>
      <c r="C16" s="39" t="s">
        <v>24</v>
      </c>
      <c r="D16" s="28">
        <v>3</v>
      </c>
      <c r="E16" s="40"/>
      <c r="F16" s="41"/>
    </row>
    <row r="17" spans="2:9" ht="26.1" customHeight="1" x14ac:dyDescent="0.25">
      <c r="B17" s="196"/>
      <c r="C17" s="39" t="s">
        <v>37</v>
      </c>
      <c r="D17" s="28">
        <v>1.6</v>
      </c>
      <c r="E17" s="40"/>
      <c r="F17" s="41"/>
    </row>
    <row r="18" spans="2:9" x14ac:dyDescent="0.25">
      <c r="C18" s="26"/>
      <c r="D18" s="42" t="s">
        <v>11</v>
      </c>
      <c r="E18" s="42">
        <f>SUM(E5:E17)</f>
        <v>0</v>
      </c>
      <c r="F18" s="42">
        <f>SUM(F5:F17)</f>
        <v>0</v>
      </c>
    </row>
    <row r="19" spans="2:9" ht="15.75" thickBot="1" x14ac:dyDescent="0.3"/>
    <row r="20" spans="2:9" ht="15.75" thickBot="1" x14ac:dyDescent="0.3">
      <c r="B20" s="192" t="s">
        <v>41</v>
      </c>
      <c r="C20" s="193"/>
      <c r="D20" s="193"/>
      <c r="E20" s="193"/>
      <c r="F20" s="193"/>
    </row>
    <row r="21" spans="2:9" ht="26.1" customHeight="1" x14ac:dyDescent="0.25">
      <c r="B21" s="23" t="s">
        <v>38</v>
      </c>
      <c r="C21" s="18"/>
      <c r="D21" s="19"/>
      <c r="E21" s="19"/>
      <c r="F21" s="46"/>
    </row>
    <row r="22" spans="2:9" ht="26.1" customHeight="1" thickBot="1" x14ac:dyDescent="0.3">
      <c r="B22" s="25" t="s">
        <v>40</v>
      </c>
      <c r="C22" s="10">
        <v>1.48</v>
      </c>
      <c r="D22" s="12"/>
      <c r="E22" s="12"/>
      <c r="F22" s="48"/>
    </row>
    <row r="24" spans="2:9" ht="15.75" x14ac:dyDescent="0.25">
      <c r="B24" s="191" t="s">
        <v>78</v>
      </c>
      <c r="C24" s="191"/>
      <c r="D24" s="191"/>
      <c r="E24" s="191"/>
      <c r="F24" s="191"/>
      <c r="G24" s="191"/>
      <c r="H24" s="191"/>
      <c r="I24" s="191"/>
    </row>
    <row r="25" spans="2:9" ht="26.1" customHeight="1" x14ac:dyDescent="0.25">
      <c r="B25" s="113" t="s">
        <v>79</v>
      </c>
      <c r="C25" s="113" t="s">
        <v>16</v>
      </c>
      <c r="D25" s="113" t="s">
        <v>19</v>
      </c>
      <c r="E25" s="113" t="s">
        <v>80</v>
      </c>
      <c r="F25" s="113" t="s">
        <v>81</v>
      </c>
      <c r="G25" s="113" t="s">
        <v>82</v>
      </c>
      <c r="H25" s="113" t="s">
        <v>83</v>
      </c>
      <c r="I25" s="113" t="s">
        <v>1</v>
      </c>
    </row>
    <row r="26" spans="2:9" ht="26.1" customHeight="1" x14ac:dyDescent="0.25">
      <c r="B26" s="109"/>
      <c r="C26" s="109"/>
      <c r="D26" s="109"/>
      <c r="E26" s="109"/>
      <c r="F26" s="110">
        <v>46097</v>
      </c>
      <c r="G26" s="110">
        <f>+F26+1</f>
        <v>46098</v>
      </c>
      <c r="H26" s="110">
        <f>+F26+5</f>
        <v>46102</v>
      </c>
      <c r="I26" s="109"/>
    </row>
    <row r="27" spans="2:9" ht="26.1" customHeight="1" x14ac:dyDescent="0.25">
      <c r="B27" s="109"/>
      <c r="C27" s="109"/>
      <c r="D27" s="111"/>
      <c r="E27" s="112"/>
      <c r="F27" s="110">
        <v>46098</v>
      </c>
      <c r="G27" s="110">
        <f t="shared" ref="G27:G30" si="0">+F27+1</f>
        <v>46099</v>
      </c>
      <c r="H27" s="110">
        <f t="shared" ref="H27:H30" si="1">+F27+5</f>
        <v>46103</v>
      </c>
      <c r="I27" s="109"/>
    </row>
    <row r="28" spans="2:9" ht="26.1" customHeight="1" x14ac:dyDescent="0.25">
      <c r="B28" s="109"/>
      <c r="C28" s="109"/>
      <c r="D28" s="111"/>
      <c r="E28" s="111"/>
      <c r="F28" s="110">
        <v>46099</v>
      </c>
      <c r="G28" s="110">
        <f t="shared" si="0"/>
        <v>46100</v>
      </c>
      <c r="H28" s="110">
        <f t="shared" si="1"/>
        <v>46104</v>
      </c>
      <c r="I28" s="109"/>
    </row>
    <row r="29" spans="2:9" ht="26.1" customHeight="1" x14ac:dyDescent="0.25">
      <c r="B29" s="109"/>
      <c r="C29" s="109"/>
      <c r="D29" s="111"/>
      <c r="E29" s="112"/>
      <c r="F29" s="110">
        <v>46100</v>
      </c>
      <c r="G29" s="110">
        <f t="shared" si="0"/>
        <v>46101</v>
      </c>
      <c r="H29" s="110">
        <f t="shared" si="1"/>
        <v>46105</v>
      </c>
      <c r="I29" s="109"/>
    </row>
    <row r="30" spans="2:9" ht="26.1" customHeight="1" x14ac:dyDescent="0.25">
      <c r="B30" s="109"/>
      <c r="C30" s="109"/>
      <c r="D30" s="109"/>
      <c r="E30" s="109"/>
      <c r="F30" s="110">
        <v>46101</v>
      </c>
      <c r="G30" s="110">
        <f t="shared" si="0"/>
        <v>46102</v>
      </c>
      <c r="H30" s="110">
        <f t="shared" si="1"/>
        <v>46106</v>
      </c>
      <c r="I30" s="109"/>
    </row>
  </sheetData>
  <mergeCells count="3">
    <mergeCell ref="B24:I24"/>
    <mergeCell ref="B20:F20"/>
    <mergeCell ref="B5:B17"/>
  </mergeCells>
  <pageMargins left="0.7" right="0.7" top="0.75" bottom="0.75" header="0.3" footer="0.3"/>
  <pageSetup scale="5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28"/>
  <sheetViews>
    <sheetView view="pageBreakPreview" zoomScale="60" zoomScaleNormal="100" workbookViewId="0">
      <selection activeCell="C24" sqref="C24"/>
    </sheetView>
  </sheetViews>
  <sheetFormatPr baseColWidth="10" defaultRowHeight="15" x14ac:dyDescent="0.25"/>
  <cols>
    <col min="2" max="2" width="18.28515625" bestFit="1" customWidth="1"/>
    <col min="3" max="3" width="28.7109375" bestFit="1" customWidth="1"/>
    <col min="4" max="4" width="35.140625" bestFit="1" customWidth="1"/>
    <col min="5" max="5" width="69.42578125" customWidth="1"/>
    <col min="6" max="6" width="11.42578125" style="27"/>
  </cols>
  <sheetData>
    <row r="1" spans="2:6" x14ac:dyDescent="0.25">
      <c r="C1" s="31" t="s">
        <v>46</v>
      </c>
      <c r="D1" s="32">
        <v>46148</v>
      </c>
    </row>
    <row r="2" spans="2:6" x14ac:dyDescent="0.25">
      <c r="C2" s="33" t="s">
        <v>47</v>
      </c>
      <c r="D2" s="30">
        <v>177</v>
      </c>
    </row>
    <row r="3" spans="2:6" x14ac:dyDescent="0.25">
      <c r="C3" s="34" t="s">
        <v>51</v>
      </c>
      <c r="D3" s="35"/>
    </row>
    <row r="4" spans="2:6" ht="15.75" x14ac:dyDescent="0.25">
      <c r="B4" s="36" t="s">
        <v>16</v>
      </c>
      <c r="C4" s="36" t="s">
        <v>15</v>
      </c>
      <c r="D4" s="36" t="s">
        <v>17</v>
      </c>
      <c r="E4" s="37" t="s">
        <v>18</v>
      </c>
      <c r="F4" s="38" t="s">
        <v>19</v>
      </c>
    </row>
    <row r="5" spans="2:6" ht="26.1" customHeight="1" x14ac:dyDescent="0.25">
      <c r="B5" s="194" t="s">
        <v>101</v>
      </c>
      <c r="C5" s="39" t="s">
        <v>20</v>
      </c>
      <c r="D5" s="28">
        <v>5.2</v>
      </c>
      <c r="E5" s="40"/>
      <c r="F5" s="41"/>
    </row>
    <row r="6" spans="2:6" ht="26.1" customHeight="1" x14ac:dyDescent="0.25">
      <c r="B6" s="195"/>
      <c r="C6" s="39" t="s">
        <v>7</v>
      </c>
      <c r="D6" s="28">
        <v>2</v>
      </c>
      <c r="E6" s="40"/>
      <c r="F6" s="41"/>
    </row>
    <row r="7" spans="2:6" ht="26.1" customHeight="1" x14ac:dyDescent="0.25">
      <c r="B7" s="195"/>
      <c r="C7" s="39" t="s">
        <v>6</v>
      </c>
      <c r="D7" s="28">
        <v>2</v>
      </c>
      <c r="E7" s="40"/>
      <c r="F7" s="41"/>
    </row>
    <row r="8" spans="2:6" ht="26.1" customHeight="1" x14ac:dyDescent="0.25">
      <c r="B8" s="195"/>
      <c r="C8" s="39" t="s">
        <v>10</v>
      </c>
      <c r="D8" s="28">
        <v>2</v>
      </c>
      <c r="E8" s="40"/>
      <c r="F8" s="41"/>
    </row>
    <row r="9" spans="2:6" ht="26.1" customHeight="1" x14ac:dyDescent="0.25">
      <c r="B9" s="195"/>
      <c r="C9" s="39" t="s">
        <v>21</v>
      </c>
      <c r="D9" s="28">
        <v>1.7</v>
      </c>
      <c r="E9" s="40"/>
      <c r="F9" s="41"/>
    </row>
    <row r="10" spans="2:6" ht="26.1" customHeight="1" x14ac:dyDescent="0.25">
      <c r="B10" s="195"/>
      <c r="C10" s="39" t="s">
        <v>5</v>
      </c>
      <c r="D10" s="28">
        <v>4</v>
      </c>
      <c r="E10" s="40"/>
      <c r="F10" s="41"/>
    </row>
    <row r="11" spans="2:6" ht="26.1" customHeight="1" x14ac:dyDescent="0.25">
      <c r="B11" s="195"/>
      <c r="C11" s="39" t="s">
        <v>22</v>
      </c>
      <c r="D11" s="28">
        <v>8</v>
      </c>
      <c r="E11" s="40"/>
      <c r="F11" s="41"/>
    </row>
    <row r="12" spans="2:6" ht="26.1" customHeight="1" x14ac:dyDescent="0.25">
      <c r="B12" s="195"/>
      <c r="C12" s="39" t="s">
        <v>8</v>
      </c>
      <c r="D12" s="28">
        <v>2</v>
      </c>
      <c r="E12" s="40"/>
      <c r="F12" s="41"/>
    </row>
    <row r="13" spans="2:6" ht="26.1" customHeight="1" x14ac:dyDescent="0.25">
      <c r="B13" s="195"/>
      <c r="C13" s="39" t="s">
        <v>23</v>
      </c>
      <c r="D13" s="28">
        <v>2</v>
      </c>
      <c r="E13" s="40"/>
      <c r="F13" s="41"/>
    </row>
    <row r="14" spans="2:6" ht="26.1" customHeight="1" x14ac:dyDescent="0.25">
      <c r="B14" s="195"/>
      <c r="C14" s="39" t="s">
        <v>36</v>
      </c>
      <c r="D14" s="28">
        <v>2.64</v>
      </c>
      <c r="E14" s="40"/>
      <c r="F14" s="41"/>
    </row>
    <row r="15" spans="2:6" ht="26.1" customHeight="1" x14ac:dyDescent="0.25">
      <c r="B15" s="195"/>
      <c r="C15" s="39" t="s">
        <v>9</v>
      </c>
      <c r="D15" s="28">
        <v>2</v>
      </c>
      <c r="E15" s="40"/>
      <c r="F15" s="41"/>
    </row>
    <row r="16" spans="2:6" ht="26.1" customHeight="1" x14ac:dyDescent="0.25">
      <c r="B16" s="195"/>
      <c r="C16" s="39" t="s">
        <v>24</v>
      </c>
      <c r="D16" s="28">
        <v>2</v>
      </c>
      <c r="E16" s="40"/>
      <c r="F16" s="41"/>
    </row>
    <row r="17" spans="2:6" ht="26.1" customHeight="1" x14ac:dyDescent="0.25">
      <c r="B17" s="196"/>
      <c r="C17" s="39" t="s">
        <v>37</v>
      </c>
      <c r="D17" s="28">
        <v>9.58</v>
      </c>
      <c r="E17" s="40"/>
      <c r="F17" s="41"/>
    </row>
    <row r="18" spans="2:6" x14ac:dyDescent="0.25">
      <c r="C18" s="26"/>
      <c r="D18" s="42" t="s">
        <v>11</v>
      </c>
      <c r="E18" s="42">
        <f>SUM(E5:E17)</f>
        <v>0</v>
      </c>
      <c r="F18" s="42">
        <f>SUM(F5:F17)</f>
        <v>0</v>
      </c>
    </row>
    <row r="19" spans="2:6" ht="15.75" thickBot="1" x14ac:dyDescent="0.3"/>
    <row r="20" spans="2:6" ht="15.75" thickBot="1" x14ac:dyDescent="0.3">
      <c r="B20" s="192" t="s">
        <v>41</v>
      </c>
      <c r="C20" s="193"/>
      <c r="D20" s="193"/>
      <c r="E20" s="193"/>
      <c r="F20" s="193"/>
    </row>
    <row r="21" spans="2:6" ht="26.1" customHeight="1" x14ac:dyDescent="0.25">
      <c r="B21" s="23" t="s">
        <v>38</v>
      </c>
      <c r="C21" s="18"/>
      <c r="D21" s="19"/>
      <c r="E21" s="19"/>
      <c r="F21" s="43"/>
    </row>
    <row r="22" spans="2:6" ht="26.1" customHeight="1" x14ac:dyDescent="0.25">
      <c r="B22" s="24" t="s">
        <v>48</v>
      </c>
      <c r="C22" s="9"/>
      <c r="D22" s="11"/>
      <c r="E22" s="11"/>
      <c r="F22" s="44"/>
    </row>
    <row r="23" spans="2:6" ht="26.1" customHeight="1" thickBot="1" x14ac:dyDescent="0.3">
      <c r="B23" s="25" t="s">
        <v>40</v>
      </c>
      <c r="C23" s="10">
        <v>1.4</v>
      </c>
      <c r="D23" s="12"/>
      <c r="E23" s="12"/>
      <c r="F23" s="45"/>
    </row>
    <row r="24" spans="2:6" ht="15.75" thickBot="1" x14ac:dyDescent="0.3"/>
    <row r="25" spans="2:6" ht="15.75" thickBot="1" x14ac:dyDescent="0.3">
      <c r="B25" s="197" t="s">
        <v>44</v>
      </c>
      <c r="C25" s="198"/>
      <c r="D25" s="198"/>
      <c r="E25" s="198"/>
      <c r="F25" s="198"/>
    </row>
    <row r="26" spans="2:6" ht="26.1" customHeight="1" x14ac:dyDescent="0.25">
      <c r="B26" s="20" t="s">
        <v>35</v>
      </c>
      <c r="C26" s="18"/>
      <c r="D26" s="19"/>
      <c r="E26" s="19"/>
      <c r="F26" s="46"/>
    </row>
    <row r="27" spans="2:6" ht="26.1" customHeight="1" x14ac:dyDescent="0.25">
      <c r="B27" s="21" t="s">
        <v>38</v>
      </c>
      <c r="C27" s="9"/>
      <c r="D27" s="11"/>
      <c r="E27" s="11"/>
      <c r="F27" s="47"/>
    </row>
    <row r="28" spans="2:6" ht="26.1" customHeight="1" thickBot="1" x14ac:dyDescent="0.3">
      <c r="B28" s="22" t="s">
        <v>39</v>
      </c>
      <c r="C28" s="10"/>
      <c r="D28" s="12"/>
      <c r="E28" s="12"/>
      <c r="F28" s="48"/>
    </row>
  </sheetData>
  <mergeCells count="3">
    <mergeCell ref="B20:F20"/>
    <mergeCell ref="B25:F25"/>
    <mergeCell ref="B5:B17"/>
  </mergeCells>
  <pageMargins left="0.7" right="0.7" top="0.75" bottom="0.75" header="0.3" footer="0.3"/>
  <pageSetup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28"/>
  <sheetViews>
    <sheetView tabSelected="1" view="pageBreakPreview" zoomScale="60" zoomScaleNormal="100" workbookViewId="0">
      <selection activeCell="C24" sqref="C24"/>
    </sheetView>
  </sheetViews>
  <sheetFormatPr baseColWidth="10" defaultRowHeight="15" x14ac:dyDescent="0.25"/>
  <cols>
    <col min="2" max="2" width="18.28515625" bestFit="1" customWidth="1"/>
    <col min="3" max="3" width="28.7109375" bestFit="1" customWidth="1"/>
    <col min="4" max="4" width="35.140625" bestFit="1" customWidth="1"/>
    <col min="5" max="5" width="69.42578125" customWidth="1"/>
    <col min="6" max="6" width="11.42578125" style="27"/>
  </cols>
  <sheetData>
    <row r="1" spans="2:6" x14ac:dyDescent="0.25">
      <c r="C1" s="31" t="s">
        <v>46</v>
      </c>
      <c r="D1" s="32">
        <v>46148</v>
      </c>
    </row>
    <row r="2" spans="2:6" x14ac:dyDescent="0.25">
      <c r="C2" s="33" t="s">
        <v>47</v>
      </c>
      <c r="D2" s="30" t="s">
        <v>102</v>
      </c>
    </row>
    <row r="3" spans="2:6" x14ac:dyDescent="0.25">
      <c r="C3" s="34" t="s">
        <v>51</v>
      </c>
      <c r="D3" s="35"/>
    </row>
    <row r="4" spans="2:6" ht="15.75" x14ac:dyDescent="0.25">
      <c r="B4" s="36" t="s">
        <v>16</v>
      </c>
      <c r="C4" s="36" t="s">
        <v>15</v>
      </c>
      <c r="D4" s="36" t="s">
        <v>17</v>
      </c>
      <c r="E4" s="37" t="s">
        <v>18</v>
      </c>
      <c r="F4" s="38" t="s">
        <v>19</v>
      </c>
    </row>
    <row r="5" spans="2:6" ht="26.1" customHeight="1" x14ac:dyDescent="0.25">
      <c r="B5" s="194" t="s">
        <v>103</v>
      </c>
      <c r="C5" s="39" t="s">
        <v>20</v>
      </c>
      <c r="D5" s="28">
        <f>24.06+20.46</f>
        <v>44.519999999999996</v>
      </c>
      <c r="E5" s="40"/>
      <c r="F5" s="41"/>
    </row>
    <row r="6" spans="2:6" ht="26.1" customHeight="1" x14ac:dyDescent="0.25">
      <c r="B6" s="195"/>
      <c r="C6" s="39" t="s">
        <v>7</v>
      </c>
      <c r="D6" s="28">
        <f>12+13</f>
        <v>25</v>
      </c>
      <c r="E6" s="40"/>
      <c r="F6" s="41"/>
    </row>
    <row r="7" spans="2:6" ht="26.1" customHeight="1" x14ac:dyDescent="0.25">
      <c r="B7" s="195"/>
      <c r="C7" s="39" t="s">
        <v>6</v>
      </c>
      <c r="D7" s="28" t="s">
        <v>146</v>
      </c>
      <c r="E7" s="40"/>
      <c r="F7" s="41"/>
    </row>
    <row r="8" spans="2:6" ht="26.1" customHeight="1" x14ac:dyDescent="0.25">
      <c r="B8" s="195"/>
      <c r="C8" s="39" t="s">
        <v>10</v>
      </c>
      <c r="D8" s="28">
        <v>25</v>
      </c>
      <c r="E8" s="40"/>
      <c r="F8" s="41"/>
    </row>
    <row r="9" spans="2:6" ht="26.1" customHeight="1" x14ac:dyDescent="0.25">
      <c r="B9" s="195"/>
      <c r="C9" s="39" t="s">
        <v>21</v>
      </c>
      <c r="D9" s="28">
        <v>17</v>
      </c>
      <c r="E9" s="40"/>
      <c r="F9" s="41"/>
    </row>
    <row r="10" spans="2:6" ht="26.1" customHeight="1" x14ac:dyDescent="0.25">
      <c r="B10" s="195"/>
      <c r="C10" s="39" t="s">
        <v>5</v>
      </c>
      <c r="D10" s="28">
        <v>50</v>
      </c>
      <c r="E10" s="40"/>
      <c r="F10" s="41"/>
    </row>
    <row r="11" spans="2:6" ht="26.1" customHeight="1" x14ac:dyDescent="0.25">
      <c r="B11" s="195"/>
      <c r="C11" s="39" t="s">
        <v>22</v>
      </c>
      <c r="D11" s="28">
        <v>100</v>
      </c>
      <c r="E11" s="40"/>
      <c r="F11" s="41"/>
    </row>
    <row r="12" spans="2:6" ht="26.1" customHeight="1" x14ac:dyDescent="0.25">
      <c r="B12" s="195"/>
      <c r="C12" s="39" t="s">
        <v>8</v>
      </c>
      <c r="D12" s="28">
        <v>25</v>
      </c>
      <c r="E12" s="40"/>
      <c r="F12" s="41"/>
    </row>
    <row r="13" spans="2:6" ht="26.1" customHeight="1" x14ac:dyDescent="0.25">
      <c r="B13" s="195"/>
      <c r="C13" s="39" t="s">
        <v>23</v>
      </c>
      <c r="D13" s="28">
        <v>25</v>
      </c>
      <c r="E13" s="40"/>
      <c r="F13" s="41"/>
    </row>
    <row r="14" spans="2:6" ht="26.1" customHeight="1" x14ac:dyDescent="0.25">
      <c r="B14" s="195"/>
      <c r="C14" s="39" t="s">
        <v>36</v>
      </c>
      <c r="D14" s="28">
        <v>20.84</v>
      </c>
      <c r="E14" s="40"/>
      <c r="F14" s="41"/>
    </row>
    <row r="15" spans="2:6" ht="26.1" customHeight="1" x14ac:dyDescent="0.25">
      <c r="B15" s="195"/>
      <c r="C15" s="39" t="s">
        <v>9</v>
      </c>
      <c r="D15" s="28">
        <v>25</v>
      </c>
      <c r="E15" s="40"/>
      <c r="F15" s="41"/>
    </row>
    <row r="16" spans="2:6" ht="26.1" customHeight="1" x14ac:dyDescent="0.25">
      <c r="B16" s="195"/>
      <c r="C16" s="39" t="s">
        <v>24</v>
      </c>
      <c r="D16" s="28">
        <v>25</v>
      </c>
      <c r="E16" s="40"/>
      <c r="F16" s="41"/>
    </row>
    <row r="17" spans="2:6" ht="26.1" customHeight="1" x14ac:dyDescent="0.25">
      <c r="B17" s="196"/>
      <c r="C17" s="39" t="s">
        <v>37</v>
      </c>
      <c r="D17" s="28">
        <v>10.14</v>
      </c>
      <c r="E17" s="40"/>
      <c r="F17" s="41"/>
    </row>
    <row r="18" spans="2:6" x14ac:dyDescent="0.25">
      <c r="C18" s="56"/>
      <c r="D18" s="42" t="s">
        <v>11</v>
      </c>
      <c r="E18" s="42">
        <f>SUM(E5:E17)</f>
        <v>0</v>
      </c>
      <c r="F18" s="42">
        <f>SUM(F5:F17)</f>
        <v>0</v>
      </c>
    </row>
    <row r="19" spans="2:6" ht="15.75" thickBot="1" x14ac:dyDescent="0.3"/>
    <row r="20" spans="2:6" ht="15.75" thickBot="1" x14ac:dyDescent="0.3">
      <c r="B20" s="192" t="s">
        <v>41</v>
      </c>
      <c r="C20" s="193"/>
      <c r="D20" s="193"/>
      <c r="E20" s="193"/>
      <c r="F20" s="193"/>
    </row>
    <row r="21" spans="2:6" ht="26.1" customHeight="1" x14ac:dyDescent="0.25">
      <c r="B21" s="23" t="s">
        <v>38</v>
      </c>
      <c r="C21" s="18"/>
      <c r="D21" s="19"/>
      <c r="E21" s="19"/>
      <c r="F21" s="43"/>
    </row>
    <row r="22" spans="2:6" ht="26.1" customHeight="1" x14ac:dyDescent="0.25">
      <c r="B22" s="24" t="s">
        <v>48</v>
      </c>
      <c r="C22" s="9"/>
      <c r="D22" s="11"/>
      <c r="E22" s="11"/>
      <c r="F22" s="44"/>
    </row>
    <row r="23" spans="2:6" ht="26.1" customHeight="1" thickBot="1" x14ac:dyDescent="0.3">
      <c r="B23" s="25" t="s">
        <v>40</v>
      </c>
      <c r="C23" s="10">
        <v>3.6</v>
      </c>
      <c r="D23" s="12"/>
      <c r="E23" s="12"/>
      <c r="F23" s="45"/>
    </row>
    <row r="24" spans="2:6" ht="15.75" thickBot="1" x14ac:dyDescent="0.3"/>
    <row r="25" spans="2:6" ht="15.75" thickBot="1" x14ac:dyDescent="0.3">
      <c r="B25" s="197" t="s">
        <v>44</v>
      </c>
      <c r="C25" s="198"/>
      <c r="D25" s="198"/>
      <c r="E25" s="198"/>
      <c r="F25" s="198"/>
    </row>
    <row r="26" spans="2:6" ht="26.1" customHeight="1" x14ac:dyDescent="0.25">
      <c r="B26" s="20" t="s">
        <v>35</v>
      </c>
      <c r="C26" s="18"/>
      <c r="D26" s="19"/>
      <c r="E26" s="19"/>
      <c r="F26" s="46"/>
    </row>
    <row r="27" spans="2:6" ht="26.1" customHeight="1" x14ac:dyDescent="0.25">
      <c r="B27" s="21" t="s">
        <v>38</v>
      </c>
      <c r="C27" s="9"/>
      <c r="D27" s="11"/>
      <c r="E27" s="11"/>
      <c r="F27" s="47"/>
    </row>
    <row r="28" spans="2:6" ht="26.1" customHeight="1" thickBot="1" x14ac:dyDescent="0.3">
      <c r="B28" s="22" t="s">
        <v>39</v>
      </c>
      <c r="C28" s="10"/>
      <c r="D28" s="12"/>
      <c r="E28" s="12"/>
      <c r="F28" s="48"/>
    </row>
  </sheetData>
  <mergeCells count="3">
    <mergeCell ref="B5:B17"/>
    <mergeCell ref="B20:F20"/>
    <mergeCell ref="B25:F25"/>
  </mergeCells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7</vt:i4>
      </vt:variant>
    </vt:vector>
  </HeadingPairs>
  <TitlesOfParts>
    <vt:vector size="16" baseType="lpstr">
      <vt:lpstr>TROPA 176 </vt:lpstr>
      <vt:lpstr>TROPA 177</vt:lpstr>
      <vt:lpstr>TROPA 178</vt:lpstr>
      <vt:lpstr>TROPA 179</vt:lpstr>
      <vt:lpstr>ROMANEO 1</vt:lpstr>
      <vt:lpstr>denticion 1</vt:lpstr>
      <vt:lpstr>menudencias (1)</vt:lpstr>
      <vt:lpstr>menudencias (2)</vt:lpstr>
      <vt:lpstr>menudencias (3)</vt:lpstr>
      <vt:lpstr>'menudencias (1)'!Área_de_impresión</vt:lpstr>
      <vt:lpstr>'menudencias (2)'!Área_de_impresión</vt:lpstr>
      <vt:lpstr>'menudencias (3)'!Área_de_impresión</vt:lpstr>
      <vt:lpstr>'TROPA 176 '!Área_de_impresión</vt:lpstr>
      <vt:lpstr>'TROPA 177'!Área_de_impresión</vt:lpstr>
      <vt:lpstr>'TROPA 178'!Área_de_impresión</vt:lpstr>
      <vt:lpstr>'TROPA 179'!Área_de_impresión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ARES CALVO</dc:creator>
  <cp:lastModifiedBy>Coordinacion Solemar</cp:lastModifiedBy>
  <cp:lastPrinted>2026-05-06T16:09:46Z</cp:lastPrinted>
  <dcterms:created xsi:type="dcterms:W3CDTF">2025-06-18T19:04:42Z</dcterms:created>
  <dcterms:modified xsi:type="dcterms:W3CDTF">2026-05-06T16:09:47Z</dcterms:modified>
</cp:coreProperties>
</file>